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JNLTRAV!$A$1:$E$99</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9" i="155" l="1"/>
  <c r="B37" i="155"/>
  <c r="B52" i="156" l="1"/>
  <c r="B23" i="157"/>
  <c r="B21" i="157"/>
  <c r="B19" i="157"/>
  <c r="B17" i="157"/>
  <c r="B15" i="157"/>
  <c r="B13" i="157"/>
  <c r="B11" i="157"/>
  <c r="B9" i="157"/>
  <c r="B7" i="157"/>
  <c r="B5" i="157"/>
  <c r="C26" i="157"/>
  <c r="C25" i="157"/>
  <c r="B87" i="156"/>
  <c r="B81" i="156"/>
  <c r="B29" i="156"/>
  <c r="B98" i="155"/>
  <c r="B92" i="155"/>
  <c r="B18" i="154" l="1"/>
  <c r="B13" i="11"/>
</calcChain>
</file>

<file path=xl/sharedStrings.xml><?xml version="1.0" encoding="utf-8"?>
<sst xmlns="http://schemas.openxmlformats.org/spreadsheetml/2006/main" count="426" uniqueCount="146">
  <si>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</si>
  <si>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</si>
  <si>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</si>
  <si>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</si>
  <si>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</si>
  <si>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</si>
  <si>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</si>
  <si>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</si>
  <si>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</si>
  <si>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</si>
  <si>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</si>
  <si>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</si>
  <si>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</si>
  <si>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</si>
  <si>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</si>
  <si>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</si>
  <si>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</si>
  <si>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</si>
  <si>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</si>
  <si>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</si>
  <si>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</si>
  <si>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</si>
  <si>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</si>
  <si>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</si>
  <si>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</si>
  <si>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</si>
  <si>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</si>
  <si>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</si>
  <si>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</si>
  <si>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</si>
  <si>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</si>
  <si>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</si>
  <si>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</si>
  <si>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</si>
  <si>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</si>
  <si>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</si>
  <si>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</si>
  <si>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</si>
  <si>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</si>
  <si>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</si>
  <si>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</si>
  <si>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</si>
  <si>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</si>
  <si>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</si>
  <si>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</si>
  <si>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</si>
  <si>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</si>
  <si>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</si>
  <si>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</si>
  <si>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</si>
  <si>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</si>
  <si>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</si>
  <si>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</si>
  <si>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</si>
  <si>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</si>
  <si>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</si>
  <si>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</si>
  <si>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</si>
  <si>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</si>
  <si>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</si>
  <si>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</si>
  <si>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</si>
  <si>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</si>
  <si>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</si>
  <si>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</si>
  <si>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</si>
  <si>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</si>
  <si>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</si>
  <si>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</si>
  <si>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</si>
  <si>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</si>
  <si>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</si>
  <si>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</si>
  <si>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</si>
  <si>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</si>
  <si>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</si>
  <si>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</si>
  <si>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</si>
  <si>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</si>
  <si>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</si>
  <si>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</si>
  <si>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</si>
  <si>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</si>
  <si>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</si>
  <si>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</si>
  <si>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</si>
  <si>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</si>
  <si>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</si>
  <si>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</si>
  <si>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</si>
  <si>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</si>
  <si>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</si>
  <si>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</si>
  <si>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</si>
  <si>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</si>
  <si>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</si>
  <si>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</si>
  <si>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</si>
  <si>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</si>
  <si>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</si>
  <si>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</si>
  <si>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</si>
  <si>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</si>
  <si>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</si>
  <si>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</si>
  <si>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</si>
  <si>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</si>
  <si>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</si>
  <si>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</si>
  <si>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H:\DemoMot\DemoMot-cattinbr\sketches</t>
  </si>
  <si>
    <t>Manipulation de l'Arduino, test des leds</t>
  </si>
  <si>
    <t>J'ai réussi à utiliser les switch pour intéragir avec les leds</t>
  </si>
  <si>
    <t>J'ai réussi à connecter les switch et à les utiliser</t>
  </si>
  <si>
    <t>Recherches diverses sur les switch, boutons poussoirs et des exemples de code</t>
  </si>
  <si>
    <t>https://www.connectedly.com/using-buttons-and-switches-arduino</t>
  </si>
  <si>
    <t>Code de test pour afficher du texte et des couleurs sur l'écran LCD</t>
  </si>
  <si>
    <t>J'ai réussi à connecter l'écran à l'arduino en m'aidant d'Internet</t>
  </si>
  <si>
    <t>https://www.arduino.cc/en/Guide/TFTtoBoards</t>
  </si>
  <si>
    <t>Recherches diverses concernant les méthode à utiliser et les librairies à inclure</t>
  </si>
  <si>
    <t>https://github.com/adafruit/Adafruit_ILI9340</t>
  </si>
  <si>
    <t>J'ai cherché comment faire pour effectuer deux actions et comment détecter une interaction (bouton poussoir ou switch), malheureusement les infos que j'ai trouvé pour la première recherche ne m'ont pas aidé car je n'ai pas compris comment les utiliser, j'attends donc M. LDS pour avancer dans ce sens</t>
  </si>
  <si>
    <t>https://www.arduino.cc/en/Tutorial/StateChangeDetection</t>
  </si>
  <si>
    <t>https://www.arduino.cc/en/Tutorial/TFTPong</t>
  </si>
  <si>
    <t>J'ai essayé du code avec ce que j'avais trouvé sur les actions à effectuer en parallèle mais sans succès. J'ai par contre implémenté du code pour détecter quand le switch est on ou off sans arrêter le code pour autant et ça m'a permis de réussir à mettre le jeu sur pause et à lancer le jeu après l'écran d'accueil.</t>
  </si>
  <si>
    <t>sketches\tetrisBeginning</t>
  </si>
  <si>
    <t>J'ai analysé comment serait le "terrain de jeu", comment implémenter les tétraminos (pièces du jeu) et comment utiliser le switch (ce qui m'a permis de faire ce qui est décris plus haut)</t>
  </si>
  <si>
    <t>captureTetris.jpg</t>
  </si>
  <si>
    <t>J'ai analysé de nouveau comment "dessiner" les formes sur l'écran car toutes les formes sont dans un tableau et j'ai beaucoup de problèmes comme le curseur mal placé ou les couleurs</t>
  </si>
  <si>
    <t>J'ai fait des essais de code différents pour les formes la plupart sans succès</t>
  </si>
  <si>
    <t>M. Guggisberg m'a aidé avec l'analyse</t>
  </si>
  <si>
    <t>Recherches sur la syntaxe de switch et des random sur Arduino</t>
  </si>
  <si>
    <t>https://www.arduino.cc/en/Reference/SwitchCase</t>
  </si>
  <si>
    <t>J'ai remanié ma manière de coder les formes après discussion avec LDS, je n'aurai qu'un tableau ou seront inscrites mes formes et plus un tableau pour chaque forme. J'ai fait face à de nombreux problèmes comme le dessin des rectangles correspondant aux chiffres dans le tableau ainsi que l'aspect des formes. J'ai amélioré mon code (commentaires, automatisation, stockage dans des variables). Je vais également devoir intégrer des interruptions</t>
  </si>
  <si>
    <t>Recherches sur les interrupts et attachInterrupts pour pouvoir améliorer mon code car malgré ma version détectant l'allumage d'un bouton, elle n'était pas suffisante pour le jeu donc je dois les modifier</t>
  </si>
  <si>
    <t>http://www.arduino.org/learning/reference/attachinterrupt</t>
  </si>
  <si>
    <t>Essai de code pour pouvoir gérer les interrupts, j'ai réussi dans un code basique tel que l'allumage de LED (Blink) mais quand j'ai essayé de l'intégrer à mon code déjà effectué, même avec des modifs ça reste super buggé et non focntionnel (X-cattinbr-Tetris)</t>
  </si>
  <si>
    <t>sketches</t>
  </si>
  <si>
    <t>Examen d'allemand</t>
  </si>
  <si>
    <t>Maladie</t>
  </si>
  <si>
    <t xml:space="preserve">Recherches de documentation sur l'Arduino </t>
  </si>
  <si>
    <t>https://www.arduino.cc/en/Main/Software</t>
  </si>
  <si>
    <t>L-DemoMot-manuelInstall.docx</t>
  </si>
  <si>
    <t>Apéro de section</t>
  </si>
  <si>
    <t>Création de la présentation du DémoMot</t>
  </si>
  <si>
    <t xml:space="preserve">J'ai créé le fichier de rapport / manuel d'installation et d'utilisation, puis j'ai commencé à le remplir </t>
  </si>
  <si>
    <t>Finition de la présentation et du manuel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</si>
</sst>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
      <left style="medium">
        <color indexed="64"/>
      </left>
      <right style="medium">
        <color indexed="64"/>
      </right>
      <top style="dashed">
        <color indexed="64"/>
      </top>
      <bottom style="hair">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8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2" fillId="0" borderId="17" xfId="1" applyFill="1" applyBorder="1" applyAlignment="1" applyProtection="1">
      <alignment horizontal="left" vertical="top" wrapText="1"/>
      <protection locked="0"/>
    </xf>
    <xf numFmtId="0" fontId="2" fillId="0" borderId="59" xfId="1" applyFill="1" applyBorder="1" applyAlignment="1" applyProtection="1">
      <alignment horizontal="left" vertical="top" wrapText="1"/>
      <protection locked="0"/>
    </xf>
    <xf numFmtId="0" fontId="10" fillId="0" borderId="9" xfId="0" applyFont="1" applyFill="1" applyBorder="1" applyAlignment="1" applyProtection="1">
      <alignment horizontal="center" vertical="center" wrapText="1"/>
      <protection locked="0"/>
    </xf>
    <xf numFmtId="0" fontId="2" fillId="0" borderId="36" xfId="1" applyFill="1" applyBorder="1" applyAlignment="1" applyProtection="1">
      <alignment horizontal="left" vertical="top" wrapText="1"/>
      <protection locked="0"/>
    </xf>
    <xf numFmtId="0" fontId="2" fillId="0" borderId="63" xfId="1" applyFill="1" applyBorder="1" applyAlignment="1" applyProtection="1">
      <alignment horizontal="left" vertical="top" wrapText="1"/>
      <protection locked="0"/>
    </xf>
    <xf numFmtId="0" fontId="10" fillId="0" borderId="63" xfId="0" applyFont="1" applyFill="1" applyBorder="1" applyAlignment="1" applyProtection="1">
      <alignment horizontal="center" vertical="center" wrapText="1"/>
      <protection locked="0"/>
    </xf>
    <xf numFmtId="0" fontId="21" fillId="15" borderId="63" xfId="0" applyFont="1" applyFill="1" applyBorder="1" applyAlignment="1" applyProtection="1">
      <alignment horizontal="center" vertical="center" wrapText="1"/>
      <protection locked="0"/>
    </xf>
    <xf numFmtId="0" fontId="10" fillId="0" borderId="63" xfId="0" applyFont="1" applyFill="1" applyBorder="1" applyAlignment="1" applyProtection="1">
      <alignment horizontal="left" vertical="top" wrapText="1"/>
      <protection locked="0"/>
    </xf>
    <xf numFmtId="0" fontId="10" fillId="0" borderId="56" xfId="0" applyFont="1" applyFill="1" applyBorder="1" applyAlignment="1" applyProtection="1">
      <alignment horizontal="center" vertical="center" wrapText="1"/>
      <protection locked="0"/>
    </xf>
    <xf numFmtId="0" fontId="10" fillId="0" borderId="17" xfId="0" applyFont="1" applyFill="1" applyBorder="1" applyAlignment="1" applyProtection="1">
      <alignment horizontal="left" vertical="top" wrapText="1"/>
      <protection locked="0"/>
    </xf>
    <xf numFmtId="0" fontId="10" fillId="0" borderId="8" xfId="0" applyFont="1" applyFill="1" applyBorder="1" applyAlignment="1" applyProtection="1">
      <alignment horizontal="left" vertical="top" wrapText="1"/>
      <protection locked="0"/>
    </xf>
    <xf numFmtId="0" fontId="10" fillId="0" borderId="19"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10" fillId="0" borderId="61" xfId="0" applyFont="1" applyFill="1" applyBorder="1" applyAlignment="1" applyProtection="1">
      <alignment horizontal="center" vertical="center"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hyperlink" Target="https://github.com/adafruit/Adafruit_ILI9340" TargetMode="External"/><Relationship Id="rId18" Type="http://schemas.openxmlformats.org/officeDocument/2006/relationships/hyperlink" Target="https://www.arduino.cc/en/Reference/SwitchCase" TargetMode="External"/><Relationship Id="rId26" Type="http://schemas.openxmlformats.org/officeDocument/2006/relationships/drawing" Target="../drawings/drawing4.xml"/><Relationship Id="rId3" Type="http://schemas.openxmlformats.org/officeDocument/2006/relationships/hyperlink" Target="H-CdC-DemoMot-cattinbr.docx" TargetMode="External"/><Relationship Id="rId21" Type="http://schemas.openxmlformats.org/officeDocument/2006/relationships/hyperlink" Target="sketches" TargetMode="Externa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hyperlink" Target="https://www.arduino.cc/en/Guide/TFTtoBoards" TargetMode="External"/><Relationship Id="rId17" Type="http://schemas.openxmlformats.org/officeDocument/2006/relationships/hyperlink" Target="captureTetris.jpg" TargetMode="External"/><Relationship Id="rId25" Type="http://schemas.openxmlformats.org/officeDocument/2006/relationships/printerSettings" Target="../printerSettings/printerSettings4.bin"/><Relationship Id="rId2" Type="http://schemas.openxmlformats.org/officeDocument/2006/relationships/hyperlink" Target="https://hackaday.io/projects/tag/raspberry%20pi/sort/date/" TargetMode="External"/><Relationship Id="rId16" Type="http://schemas.openxmlformats.org/officeDocument/2006/relationships/hyperlink" Target="sketches\tetrisBeginning" TargetMode="External"/><Relationship Id="rId20" Type="http://schemas.openxmlformats.org/officeDocument/2006/relationships/hyperlink" Target="http://www.arduino.org/learning/reference/attachinterrupt" TargetMode="External"/><Relationship Id="rId29" Type="http://schemas.openxmlformats.org/officeDocument/2006/relationships/image" Target="../media/image6.emf"/><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hyperlink" Target="https://www.connectedly.com/using-buttons-and-switches-arduino" TargetMode="External"/><Relationship Id="rId24" Type="http://schemas.openxmlformats.org/officeDocument/2006/relationships/hyperlink" Target="L-DemoMot-manuelInstall.docx" TargetMode="External"/><Relationship Id="rId5" Type="http://schemas.openxmlformats.org/officeDocument/2006/relationships/hyperlink" Target="https://stackoverflow.com/questions/40771638/avrdude-ser-open-cant-open-device-com3-access-is-denied" TargetMode="External"/><Relationship Id="rId15" Type="http://schemas.openxmlformats.org/officeDocument/2006/relationships/hyperlink" Target="https://www.arduino.cc/en/Tutorial/TFTPong" TargetMode="External"/><Relationship Id="rId23" Type="http://schemas.openxmlformats.org/officeDocument/2006/relationships/hyperlink" Target="https://www.arduino.cc/en/Guide/TFTtoBoards" TargetMode="External"/><Relationship Id="rId28" Type="http://schemas.openxmlformats.org/officeDocument/2006/relationships/control" Target="../activeX/activeX6.xml"/><Relationship Id="rId10" Type="http://schemas.openxmlformats.org/officeDocument/2006/relationships/hyperlink" Target="sketches" TargetMode="External"/><Relationship Id="rId19" Type="http://schemas.openxmlformats.org/officeDocument/2006/relationships/hyperlink" Target="sketches\tetrisBeginning" TargetMode="External"/><Relationship Id="rId4" Type="http://schemas.openxmlformats.org/officeDocument/2006/relationships/hyperlink" Target="H-CdC-DemoMot-cattinbr.docx" TargetMode="External"/><Relationship Id="rId9" Type="http://schemas.openxmlformats.org/officeDocument/2006/relationships/hyperlink" Target="sketches" TargetMode="External"/><Relationship Id="rId14" Type="http://schemas.openxmlformats.org/officeDocument/2006/relationships/hyperlink" Target="https://www.arduino.cc/en/Tutorial/StateChangeDetection" TargetMode="External"/><Relationship Id="rId22" Type="http://schemas.openxmlformats.org/officeDocument/2006/relationships/hyperlink" Target="https://www.arduino.cc/en/Main/Software" TargetMode="External"/><Relationship Id="rId27"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72" t="s">
        <v>19</v>
      </c>
      <c r="C19" s="173"/>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76" t="s">
        <v>39</v>
      </c>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c r="CD2" s="177"/>
      <c r="CE2" s="177"/>
      <c r="CF2" s="177"/>
      <c r="CG2" s="177"/>
      <c r="CH2" s="177"/>
      <c r="CI2" s="177"/>
      <c r="CJ2" s="177"/>
      <c r="CK2" s="177"/>
      <c r="CL2" s="177"/>
      <c r="CM2" s="177"/>
      <c r="CN2" s="177"/>
      <c r="CO2" s="178"/>
      <c r="CP2" s="176" t="s">
        <v>40</v>
      </c>
      <c r="CQ2" s="177"/>
      <c r="CR2" s="177"/>
      <c r="CS2" s="177"/>
      <c r="CT2" s="177"/>
      <c r="CU2" s="177"/>
      <c r="CV2" s="177"/>
      <c r="CW2" s="177"/>
      <c r="CX2" s="177"/>
      <c r="CY2" s="177"/>
      <c r="CZ2" s="177"/>
      <c r="DA2" s="177"/>
      <c r="DB2" s="177"/>
      <c r="DC2" s="177"/>
      <c r="DD2" s="177"/>
      <c r="DE2" s="177"/>
      <c r="DF2" s="177"/>
      <c r="DG2" s="177"/>
      <c r="DH2" s="177"/>
      <c r="DI2" s="177"/>
      <c r="DJ2" s="177"/>
      <c r="DK2" s="177"/>
      <c r="DL2" s="177"/>
      <c r="DM2" s="177"/>
      <c r="DN2" s="177"/>
      <c r="DO2" s="177"/>
      <c r="DP2" s="177"/>
      <c r="DQ2" s="177"/>
      <c r="DR2" s="177"/>
      <c r="DS2" s="177"/>
      <c r="DT2" s="177"/>
      <c r="DU2" s="177"/>
      <c r="DV2" s="177"/>
      <c r="DW2" s="177"/>
      <c r="DX2" s="177"/>
      <c r="DY2" s="177"/>
      <c r="DZ2" s="177"/>
      <c r="EA2" s="177"/>
      <c r="EB2" s="177"/>
      <c r="EC2" s="177"/>
      <c r="ED2" s="177"/>
      <c r="EE2" s="177"/>
      <c r="EF2" s="177"/>
      <c r="EG2" s="177"/>
      <c r="EH2" s="177"/>
      <c r="EI2" s="177"/>
      <c r="EJ2" s="177"/>
      <c r="EK2" s="177"/>
      <c r="EL2" s="177"/>
      <c r="EM2" s="177"/>
      <c r="EN2" s="177"/>
      <c r="EO2" s="177"/>
      <c r="EP2" s="177"/>
      <c r="EQ2" s="177"/>
      <c r="ER2" s="177"/>
      <c r="ES2" s="177"/>
      <c r="ET2" s="177"/>
      <c r="EU2" s="177"/>
      <c r="EV2" s="177"/>
      <c r="EW2" s="177"/>
      <c r="EX2" s="177"/>
      <c r="EY2" s="177"/>
      <c r="EZ2" s="177"/>
      <c r="FA2" s="177"/>
      <c r="FB2" s="177"/>
      <c r="FC2" s="177"/>
      <c r="FD2" s="177"/>
      <c r="FE2" s="177"/>
      <c r="FF2" s="177"/>
      <c r="FG2" s="177"/>
      <c r="FH2" s="177"/>
      <c r="FI2" s="177"/>
      <c r="FJ2" s="177"/>
      <c r="FK2" s="177"/>
      <c r="FL2" s="177"/>
      <c r="FM2" s="177"/>
      <c r="FN2" s="177"/>
      <c r="FO2" s="177"/>
      <c r="FP2" s="177"/>
      <c r="FQ2" s="177"/>
      <c r="FR2" s="177"/>
      <c r="FS2" s="177"/>
      <c r="FT2" s="177"/>
      <c r="FU2" s="177"/>
      <c r="FV2" s="177"/>
      <c r="FW2" s="177"/>
      <c r="FX2" s="177"/>
      <c r="FY2" s="177"/>
      <c r="FZ2" s="177"/>
      <c r="GA2" s="178"/>
      <c r="GB2" s="176" t="s">
        <v>41</v>
      </c>
      <c r="GC2" s="177"/>
      <c r="GD2" s="177"/>
      <c r="GE2" s="177"/>
      <c r="GF2" s="177"/>
      <c r="GG2" s="177"/>
      <c r="GH2" s="177"/>
      <c r="GI2" s="177"/>
      <c r="GJ2" s="177"/>
      <c r="GK2" s="177"/>
      <c r="GL2" s="177"/>
      <c r="GM2" s="177"/>
      <c r="GN2" s="177"/>
      <c r="GO2" s="177"/>
      <c r="GP2" s="177"/>
      <c r="GQ2" s="177"/>
      <c r="GR2" s="177"/>
      <c r="GS2" s="177"/>
      <c r="GT2" s="177"/>
      <c r="GU2" s="177"/>
      <c r="GV2" s="177"/>
      <c r="GW2" s="177"/>
      <c r="GX2" s="177"/>
      <c r="GY2" s="177"/>
      <c r="GZ2" s="177"/>
      <c r="HA2" s="177"/>
      <c r="HB2" s="177"/>
      <c r="HC2" s="177"/>
      <c r="HD2" s="177"/>
      <c r="HE2" s="177"/>
      <c r="HF2" s="177"/>
      <c r="HG2" s="177"/>
      <c r="HH2" s="177"/>
      <c r="HI2" s="177"/>
      <c r="HJ2" s="177"/>
      <c r="HK2" s="177"/>
      <c r="HL2" s="177"/>
      <c r="HM2" s="177"/>
      <c r="HN2" s="177"/>
      <c r="HO2" s="177"/>
      <c r="HP2" s="177"/>
      <c r="HQ2" s="177"/>
      <c r="HR2" s="177"/>
      <c r="HS2" s="177"/>
      <c r="HT2" s="177"/>
      <c r="HU2" s="177"/>
      <c r="HV2" s="177"/>
      <c r="HW2" s="177"/>
      <c r="HX2" s="177"/>
      <c r="HY2" s="177"/>
      <c r="HZ2" s="177"/>
      <c r="IA2" s="177"/>
      <c r="IB2" s="177"/>
      <c r="IC2" s="177"/>
      <c r="ID2" s="177"/>
      <c r="IE2" s="177"/>
      <c r="IF2" s="177"/>
      <c r="IG2" s="177"/>
      <c r="IH2" s="177"/>
      <c r="II2" s="177"/>
      <c r="IJ2" s="177"/>
      <c r="IK2" s="177"/>
      <c r="IL2" s="177"/>
      <c r="IM2" s="177"/>
      <c r="IN2" s="177"/>
      <c r="IO2" s="177"/>
      <c r="IP2" s="177"/>
      <c r="IQ2" s="177"/>
      <c r="IR2" s="177"/>
      <c r="IS2" s="177"/>
      <c r="IT2" s="177"/>
      <c r="IU2" s="177"/>
      <c r="IV2" s="177"/>
      <c r="IW2" s="177"/>
      <c r="IX2" s="177"/>
      <c r="IY2" s="177"/>
      <c r="IZ2" s="177"/>
      <c r="JA2" s="177"/>
      <c r="JB2" s="177"/>
      <c r="JC2" s="177"/>
      <c r="JD2" s="177"/>
      <c r="JE2" s="177"/>
      <c r="JF2" s="177"/>
      <c r="JG2" s="177"/>
      <c r="JH2" s="177"/>
      <c r="JI2" s="177"/>
      <c r="JJ2" s="177"/>
      <c r="JK2" s="177"/>
      <c r="JL2" s="177"/>
      <c r="JM2" s="178"/>
      <c r="JN2" s="176" t="s">
        <v>42</v>
      </c>
      <c r="JO2" s="177"/>
      <c r="JP2" s="177"/>
      <c r="JQ2" s="177"/>
      <c r="JR2" s="177"/>
      <c r="JS2" s="177"/>
      <c r="JT2" s="177"/>
      <c r="JU2" s="177"/>
      <c r="JV2" s="177"/>
      <c r="JW2" s="177"/>
      <c r="JX2" s="177"/>
      <c r="JY2" s="177"/>
      <c r="JZ2" s="177"/>
      <c r="KA2" s="177"/>
      <c r="KB2" s="177"/>
      <c r="KC2" s="177"/>
      <c r="KD2" s="177"/>
      <c r="KE2" s="177"/>
      <c r="KF2" s="177"/>
      <c r="KG2" s="177"/>
      <c r="KH2" s="177"/>
      <c r="KI2" s="177"/>
      <c r="KJ2" s="177"/>
      <c r="KK2" s="177"/>
      <c r="KL2" s="177"/>
      <c r="KM2" s="177"/>
      <c r="KN2" s="177"/>
      <c r="KO2" s="177"/>
      <c r="KP2" s="177"/>
      <c r="KQ2" s="177"/>
      <c r="KR2" s="177"/>
      <c r="KS2" s="177"/>
      <c r="KT2" s="177"/>
      <c r="KU2" s="177"/>
      <c r="KV2" s="177"/>
      <c r="KW2" s="177"/>
      <c r="KX2" s="177"/>
      <c r="KY2" s="177"/>
      <c r="KZ2" s="177"/>
      <c r="LA2" s="177"/>
      <c r="LB2" s="177"/>
      <c r="LC2" s="177"/>
      <c r="LD2" s="177"/>
      <c r="LE2" s="177"/>
      <c r="LF2" s="177"/>
      <c r="LG2" s="177"/>
      <c r="LH2" s="177"/>
      <c r="LI2" s="177"/>
      <c r="LJ2" s="177"/>
      <c r="LK2" s="177"/>
      <c r="LL2" s="177"/>
      <c r="LM2" s="177"/>
      <c r="LN2" s="177"/>
      <c r="LO2" s="177"/>
      <c r="LP2" s="177"/>
      <c r="LQ2" s="177"/>
      <c r="LR2" s="177"/>
      <c r="LS2" s="177"/>
      <c r="LT2" s="177"/>
      <c r="LU2" s="177"/>
      <c r="LV2" s="177"/>
      <c r="LW2" s="177"/>
      <c r="LX2" s="177"/>
      <c r="LY2" s="177"/>
      <c r="LZ2" s="177"/>
      <c r="MA2" s="177"/>
      <c r="MB2" s="177"/>
      <c r="MC2" s="177"/>
      <c r="MD2" s="177"/>
      <c r="ME2" s="177"/>
      <c r="MF2" s="177"/>
      <c r="MG2" s="177"/>
      <c r="MH2" s="177"/>
      <c r="MI2" s="177"/>
      <c r="MJ2" s="177"/>
      <c r="MK2" s="177"/>
      <c r="ML2" s="177"/>
      <c r="MM2" s="177"/>
      <c r="MN2" s="177"/>
      <c r="MO2" s="177"/>
      <c r="MP2" s="177"/>
      <c r="MQ2" s="177"/>
      <c r="MR2" s="177"/>
      <c r="MS2" s="177"/>
      <c r="MT2" s="177"/>
      <c r="MU2" s="177"/>
      <c r="MV2" s="177"/>
      <c r="MW2" s="177"/>
      <c r="MX2" s="177"/>
      <c r="MY2" s="178"/>
    </row>
    <row r="3" spans="1:363" ht="19.5" customHeight="1" x14ac:dyDescent="0.2">
      <c r="A3" s="88"/>
      <c r="B3" s="179"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80"/>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81"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75"/>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74"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75"/>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74"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75"/>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74"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75"/>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74"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75"/>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74"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75"/>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74"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75"/>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74"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75"/>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74"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75"/>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74"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75"/>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79" t="s">
        <v>21</v>
      </c>
      <c r="C3" s="30">
        <v>0</v>
      </c>
    </row>
    <row r="4" spans="1:4" ht="19.5" customHeight="1" x14ac:dyDescent="0.2">
      <c r="A4" s="34"/>
      <c r="B4" s="18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0"/>
  <sheetViews>
    <sheetView tabSelected="1" view="pageBreakPreview" topLeftCell="A78" zoomScale="115" zoomScaleNormal="100" zoomScaleSheetLayoutView="115" workbookViewId="0">
      <selection activeCell="D90" sqref="D90"/>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t="s">
        <v>21</v>
      </c>
      <c r="B42" s="115">
        <v>27</v>
      </c>
      <c r="C42" s="120"/>
      <c r="D42" s="116" t="s">
        <v>106</v>
      </c>
      <c r="E42" s="14"/>
    </row>
    <row r="43" spans="1:10" ht="15" x14ac:dyDescent="0.2">
      <c r="A43" s="122"/>
      <c r="B43" s="123"/>
      <c r="C43" s="124" t="s">
        <v>50</v>
      </c>
      <c r="D43" s="125"/>
      <c r="E43" s="126"/>
      <c r="F43" s="37"/>
      <c r="G43" s="57"/>
      <c r="H43" s="53"/>
      <c r="I43" s="53"/>
      <c r="J43" s="37"/>
    </row>
    <row r="44" spans="1:10" ht="27" x14ac:dyDescent="0.2">
      <c r="A44" s="137" t="s">
        <v>31</v>
      </c>
      <c r="B44" s="6">
        <v>5</v>
      </c>
      <c r="C44" s="138"/>
      <c r="D44" s="14" t="s">
        <v>107</v>
      </c>
      <c r="E44" s="129"/>
      <c r="F44" s="37"/>
      <c r="G44" s="57"/>
      <c r="H44" s="53"/>
      <c r="I44" s="53"/>
      <c r="J44" s="37"/>
    </row>
    <row r="45" spans="1:10" ht="15" x14ac:dyDescent="0.2">
      <c r="A45" s="147" t="s">
        <v>30</v>
      </c>
      <c r="B45" s="6">
        <v>2</v>
      </c>
      <c r="C45" s="138"/>
      <c r="D45" s="14" t="s">
        <v>110</v>
      </c>
      <c r="E45" s="160"/>
      <c r="F45" s="37"/>
      <c r="G45" s="57"/>
      <c r="H45" s="53"/>
      <c r="I45" s="53"/>
      <c r="J45" s="37"/>
    </row>
    <row r="46" spans="1:10" ht="15" x14ac:dyDescent="0.2">
      <c r="A46" s="140" t="s">
        <v>29</v>
      </c>
      <c r="B46" s="6">
        <v>3</v>
      </c>
      <c r="C46" s="138"/>
      <c r="D46" s="14" t="s">
        <v>108</v>
      </c>
      <c r="E46" s="145" t="s">
        <v>109</v>
      </c>
      <c r="F46" s="37"/>
      <c r="G46" s="57"/>
      <c r="H46" s="53"/>
      <c r="I46" s="53"/>
      <c r="J46" s="37"/>
    </row>
    <row r="47" spans="1:10" ht="15" x14ac:dyDescent="0.2">
      <c r="A47" s="134" t="s">
        <v>34</v>
      </c>
      <c r="B47" s="115">
        <v>1</v>
      </c>
      <c r="C47" s="135"/>
      <c r="D47" s="116" t="s">
        <v>63</v>
      </c>
      <c r="E47" s="136"/>
      <c r="F47" s="37"/>
      <c r="G47" s="57"/>
      <c r="H47" s="53"/>
      <c r="I47" s="53"/>
      <c r="J47" s="37"/>
    </row>
    <row r="48" spans="1:10" ht="15" x14ac:dyDescent="0.2">
      <c r="A48" s="127" t="s">
        <v>36</v>
      </c>
      <c r="B48" s="112">
        <v>1</v>
      </c>
      <c r="C48" s="119"/>
      <c r="D48" s="113" t="s">
        <v>59</v>
      </c>
      <c r="E48" s="128"/>
      <c r="F48" s="37"/>
      <c r="G48" s="57"/>
      <c r="H48" s="53"/>
      <c r="I48" s="53"/>
      <c r="J48" s="37"/>
    </row>
    <row r="49" spans="1:10" ht="13.5" x14ac:dyDescent="0.2">
      <c r="A49" s="109"/>
      <c r="B49" s="110"/>
      <c r="C49" s="118" t="s">
        <v>51</v>
      </c>
      <c r="D49" s="111"/>
      <c r="E49" s="111"/>
      <c r="F49" s="37"/>
      <c r="G49" s="59"/>
      <c r="H49" s="60"/>
      <c r="I49" s="60"/>
      <c r="J49" s="37"/>
    </row>
    <row r="50" spans="1:10" ht="13.5" x14ac:dyDescent="0.2">
      <c r="A50" s="114" t="s">
        <v>29</v>
      </c>
      <c r="B50" s="115">
        <v>5</v>
      </c>
      <c r="C50" s="135"/>
      <c r="D50" s="116" t="s">
        <v>111</v>
      </c>
      <c r="E50" s="145" t="s">
        <v>109</v>
      </c>
      <c r="F50" s="37"/>
      <c r="G50" s="59"/>
      <c r="H50" s="60"/>
      <c r="I50" s="60"/>
      <c r="J50" s="37"/>
    </row>
    <row r="51" spans="1:10" ht="13.5" x14ac:dyDescent="0.2">
      <c r="A51" s="140" t="s">
        <v>30</v>
      </c>
      <c r="B51" s="6">
        <v>5</v>
      </c>
      <c r="C51" s="138"/>
      <c r="D51" s="14" t="s">
        <v>112</v>
      </c>
      <c r="E51" s="141"/>
      <c r="F51" s="37"/>
      <c r="G51" s="59"/>
      <c r="H51" s="60"/>
      <c r="I51" s="60"/>
      <c r="J51" s="37"/>
    </row>
    <row r="52" spans="1:10" ht="25.5" x14ac:dyDescent="0.2">
      <c r="A52" s="147" t="s">
        <v>28</v>
      </c>
      <c r="B52" s="79">
        <v>5</v>
      </c>
      <c r="C52" s="143"/>
      <c r="D52" s="80" t="s">
        <v>113</v>
      </c>
      <c r="E52" s="161" t="s">
        <v>114</v>
      </c>
      <c r="F52" s="37"/>
      <c r="G52" s="59"/>
      <c r="H52" s="60"/>
      <c r="I52" s="60"/>
      <c r="J52" s="37"/>
    </row>
    <row r="53" spans="1:10" ht="13.5" x14ac:dyDescent="0.2">
      <c r="A53" s="140" t="s">
        <v>29</v>
      </c>
      <c r="B53" s="6">
        <v>6</v>
      </c>
      <c r="C53" s="138"/>
      <c r="D53" s="14" t="s">
        <v>115</v>
      </c>
      <c r="E53" s="14"/>
      <c r="F53" s="37"/>
      <c r="G53" s="59"/>
      <c r="H53" s="60"/>
      <c r="I53" s="60"/>
      <c r="J53" s="37"/>
    </row>
    <row r="54" spans="1:10" ht="13.5" x14ac:dyDescent="0.2">
      <c r="A54" s="147" t="s">
        <v>30</v>
      </c>
      <c r="B54" s="6">
        <v>2</v>
      </c>
      <c r="C54" s="138"/>
      <c r="D54" s="14" t="s">
        <v>116</v>
      </c>
      <c r="E54" s="161" t="s">
        <v>117</v>
      </c>
      <c r="F54" s="37"/>
      <c r="G54" s="59"/>
      <c r="H54" s="60"/>
      <c r="I54" s="60"/>
      <c r="J54" s="37"/>
    </row>
    <row r="55" spans="1:10" ht="13.5" x14ac:dyDescent="0.2">
      <c r="A55" s="147" t="s">
        <v>28</v>
      </c>
      <c r="B55" s="6">
        <v>2</v>
      </c>
      <c r="C55" s="138"/>
      <c r="D55" s="14" t="s">
        <v>118</v>
      </c>
      <c r="E55" s="161" t="s">
        <v>119</v>
      </c>
      <c r="F55" s="37"/>
      <c r="G55" s="59"/>
      <c r="H55" s="60"/>
      <c r="I55" s="60"/>
      <c r="J55" s="37"/>
    </row>
    <row r="56" spans="1:10" ht="13.5" x14ac:dyDescent="0.2">
      <c r="A56" s="134" t="s">
        <v>34</v>
      </c>
      <c r="B56" s="115">
        <v>1</v>
      </c>
      <c r="C56" s="135"/>
      <c r="D56" s="116" t="s">
        <v>63</v>
      </c>
      <c r="E56" s="144"/>
      <c r="F56" s="37"/>
      <c r="G56" s="59"/>
      <c r="H56" s="60"/>
      <c r="I56" s="60"/>
      <c r="J56" s="37"/>
    </row>
    <row r="57" spans="1:10" ht="13.5" x14ac:dyDescent="0.2">
      <c r="A57" s="127" t="s">
        <v>36</v>
      </c>
      <c r="B57" s="112">
        <v>1</v>
      </c>
      <c r="C57" s="119"/>
      <c r="D57" s="113" t="s">
        <v>59</v>
      </c>
      <c r="E57" s="113"/>
      <c r="F57" s="37"/>
      <c r="G57" s="59"/>
      <c r="H57" s="60"/>
      <c r="I57" s="60"/>
      <c r="J57" s="37"/>
    </row>
    <row r="58" spans="1:10" ht="13.5" x14ac:dyDescent="0.2">
      <c r="A58" s="110"/>
      <c r="B58" s="110"/>
      <c r="C58" s="118" t="s">
        <v>52</v>
      </c>
      <c r="D58" s="111"/>
      <c r="E58" s="111"/>
      <c r="F58" s="37"/>
      <c r="G58" s="59"/>
      <c r="H58" s="60"/>
      <c r="I58" s="60"/>
      <c r="J58" s="37"/>
    </row>
    <row r="59" spans="1:10" ht="54" x14ac:dyDescent="0.2">
      <c r="A59" s="165" t="s">
        <v>28</v>
      </c>
      <c r="B59" s="165">
        <v>4</v>
      </c>
      <c r="C59" s="166"/>
      <c r="D59" s="167" t="s">
        <v>120</v>
      </c>
      <c r="E59" s="164" t="s">
        <v>121</v>
      </c>
      <c r="F59" s="37"/>
      <c r="G59" s="59"/>
      <c r="H59" s="60"/>
      <c r="I59" s="60"/>
      <c r="J59" s="37"/>
    </row>
    <row r="60" spans="1:10" ht="13.5" x14ac:dyDescent="0.2">
      <c r="A60" s="162"/>
      <c r="B60" s="115"/>
      <c r="C60" s="120"/>
      <c r="D60" s="116"/>
      <c r="E60" s="163" t="s">
        <v>122</v>
      </c>
      <c r="F60" s="37"/>
      <c r="G60" s="59"/>
      <c r="H60" s="60"/>
      <c r="I60" s="60"/>
      <c r="J60" s="37"/>
    </row>
    <row r="61" spans="1:10" ht="54" x14ac:dyDescent="0.2">
      <c r="A61" s="146" t="s">
        <v>29</v>
      </c>
      <c r="B61" s="79">
        <v>9</v>
      </c>
      <c r="C61" s="132"/>
      <c r="D61" s="80" t="s">
        <v>123</v>
      </c>
      <c r="E61" s="129" t="s">
        <v>124</v>
      </c>
      <c r="F61" s="37"/>
      <c r="G61" s="59"/>
      <c r="H61" s="60"/>
      <c r="I61" s="60"/>
      <c r="J61" s="37"/>
    </row>
    <row r="62" spans="1:10" ht="40.5" x14ac:dyDescent="0.2">
      <c r="A62" s="168" t="s">
        <v>35</v>
      </c>
      <c r="B62" s="6">
        <v>2</v>
      </c>
      <c r="C62" s="121"/>
      <c r="D62" s="14" t="s">
        <v>125</v>
      </c>
      <c r="E62" s="145" t="s">
        <v>126</v>
      </c>
      <c r="F62" s="37"/>
      <c r="G62" s="59"/>
      <c r="H62" s="60"/>
      <c r="I62" s="60"/>
      <c r="J62" s="37"/>
    </row>
    <row r="63" spans="1:10" ht="40.5" x14ac:dyDescent="0.2">
      <c r="A63" s="159" t="s">
        <v>35</v>
      </c>
      <c r="B63" s="6">
        <v>4</v>
      </c>
      <c r="C63" s="121"/>
      <c r="D63" s="14" t="s">
        <v>127</v>
      </c>
      <c r="E63" s="169"/>
      <c r="F63" s="37"/>
      <c r="G63" s="59"/>
      <c r="H63" s="60"/>
      <c r="I63" s="60"/>
      <c r="J63" s="37"/>
    </row>
    <row r="64" spans="1:10" ht="13.5" x14ac:dyDescent="0.2">
      <c r="A64" s="162" t="s">
        <v>29</v>
      </c>
      <c r="B64" s="115">
        <v>6</v>
      </c>
      <c r="C64" s="120"/>
      <c r="D64" s="116" t="s">
        <v>128</v>
      </c>
      <c r="E64" s="170"/>
      <c r="F64" s="37"/>
      <c r="G64" s="59"/>
      <c r="H64" s="60"/>
      <c r="I64" s="60"/>
      <c r="J64" s="37"/>
    </row>
    <row r="65" spans="1:10" ht="13.5" x14ac:dyDescent="0.2">
      <c r="A65" s="168" t="s">
        <v>21</v>
      </c>
      <c r="B65" s="6">
        <v>2</v>
      </c>
      <c r="C65" s="121"/>
      <c r="D65" s="14" t="s">
        <v>129</v>
      </c>
      <c r="E65" s="141"/>
      <c r="F65" s="37"/>
      <c r="G65" s="59"/>
      <c r="H65" s="60"/>
      <c r="I65" s="60"/>
      <c r="J65" s="37"/>
    </row>
    <row r="66" spans="1:10" ht="13.5" x14ac:dyDescent="0.2">
      <c r="A66" s="159"/>
      <c r="B66" s="6"/>
      <c r="C66" s="121"/>
      <c r="D66" s="14"/>
      <c r="E66" s="169"/>
      <c r="F66" s="37"/>
      <c r="G66" s="59"/>
      <c r="H66" s="60"/>
      <c r="I66" s="60"/>
      <c r="J66" s="37"/>
    </row>
    <row r="67" spans="1:10" ht="13.5" x14ac:dyDescent="0.2">
      <c r="A67" s="134" t="s">
        <v>34</v>
      </c>
      <c r="B67" s="115">
        <v>1</v>
      </c>
      <c r="C67" s="135"/>
      <c r="D67" s="116" t="s">
        <v>63</v>
      </c>
      <c r="E67" s="116"/>
      <c r="F67" s="37"/>
      <c r="G67" s="61"/>
      <c r="H67" s="62"/>
      <c r="I67" s="62"/>
      <c r="J67" s="37"/>
    </row>
    <row r="68" spans="1:10" ht="14.25" thickBot="1" x14ac:dyDescent="0.25">
      <c r="A68" s="127" t="s">
        <v>36</v>
      </c>
      <c r="B68" s="112">
        <v>1</v>
      </c>
      <c r="C68" s="119"/>
      <c r="D68" s="113" t="s">
        <v>59</v>
      </c>
      <c r="E68" s="15"/>
      <c r="F68" s="37"/>
      <c r="G68" s="37"/>
      <c r="H68" s="37"/>
      <c r="I68" s="37"/>
      <c r="J68" s="37"/>
    </row>
    <row r="69" spans="1:10" ht="14.25" thickBot="1" x14ac:dyDescent="0.25">
      <c r="A69" s="76" t="s">
        <v>22</v>
      </c>
      <c r="B69" s="76">
        <f>SUM(B41:B68)</f>
        <v>95</v>
      </c>
      <c r="C69" s="155"/>
      <c r="D69" s="83" t="s">
        <v>37</v>
      </c>
      <c r="E69" s="77"/>
      <c r="F69" s="37"/>
      <c r="G69" s="37"/>
      <c r="H69" s="37"/>
      <c r="I69" s="37"/>
      <c r="J69" s="37"/>
    </row>
    <row r="70" spans="1:10" ht="15" thickBot="1" x14ac:dyDescent="0.35">
      <c r="A70" s="78"/>
      <c r="B70" s="78"/>
      <c r="C70" s="78"/>
      <c r="D70" s="78"/>
      <c r="E70" s="78"/>
      <c r="F70" s="37"/>
      <c r="G70" s="37"/>
      <c r="H70" s="37"/>
      <c r="I70" s="37"/>
      <c r="J70" s="37"/>
    </row>
    <row r="71" spans="1:10" ht="18.75" thickBot="1" x14ac:dyDescent="0.25">
      <c r="A71" s="71" t="s">
        <v>14</v>
      </c>
      <c r="B71" s="72">
        <v>3</v>
      </c>
      <c r="C71" s="72"/>
      <c r="D71" s="73" t="s">
        <v>23</v>
      </c>
      <c r="E71" s="82">
        <v>42898</v>
      </c>
    </row>
    <row r="72" spans="1:10" ht="27.75" thickBot="1" x14ac:dyDescent="0.25">
      <c r="A72" s="74" t="s">
        <v>3</v>
      </c>
      <c r="B72" s="75" t="s">
        <v>15</v>
      </c>
      <c r="C72" s="75" t="s">
        <v>43</v>
      </c>
      <c r="D72" s="74" t="s">
        <v>7</v>
      </c>
      <c r="E72" s="74" t="s">
        <v>13</v>
      </c>
    </row>
    <row r="73" spans="1:10" ht="13.5" x14ac:dyDescent="0.2">
      <c r="A73" s="9"/>
      <c r="B73" s="8"/>
      <c r="C73" s="117" t="s">
        <v>49</v>
      </c>
      <c r="D73" s="13"/>
      <c r="E73" s="13"/>
    </row>
    <row r="74" spans="1:10" ht="13.5" x14ac:dyDescent="0.2">
      <c r="A74" s="114" t="s">
        <v>28</v>
      </c>
      <c r="B74" s="115">
        <v>2</v>
      </c>
      <c r="C74" s="120"/>
      <c r="D74" s="116" t="s">
        <v>130</v>
      </c>
      <c r="E74" s="129" t="s">
        <v>131</v>
      </c>
    </row>
    <row r="75" spans="1:10" ht="81" x14ac:dyDescent="0.2">
      <c r="A75" s="5" t="s">
        <v>29</v>
      </c>
      <c r="B75" s="6">
        <v>10</v>
      </c>
      <c r="C75" s="121"/>
      <c r="D75" s="14" t="s">
        <v>132</v>
      </c>
      <c r="E75" s="129" t="s">
        <v>124</v>
      </c>
    </row>
    <row r="76" spans="1:10" ht="40.5" x14ac:dyDescent="0.2">
      <c r="A76" s="6" t="s">
        <v>28</v>
      </c>
      <c r="B76" s="6">
        <v>4</v>
      </c>
      <c r="C76" s="121"/>
      <c r="D76" s="14" t="s">
        <v>133</v>
      </c>
      <c r="E76" s="129" t="s">
        <v>134</v>
      </c>
    </row>
    <row r="77" spans="1:10" ht="40.5" x14ac:dyDescent="0.2">
      <c r="A77" s="110" t="s">
        <v>29</v>
      </c>
      <c r="B77" s="110">
        <v>8</v>
      </c>
      <c r="C77" s="131"/>
      <c r="D77" s="111" t="s">
        <v>135</v>
      </c>
      <c r="E77" s="130" t="s">
        <v>136</v>
      </c>
    </row>
    <row r="78" spans="1:10" ht="13.5" x14ac:dyDescent="0.2">
      <c r="A78" s="134" t="s">
        <v>34</v>
      </c>
      <c r="B78" s="115">
        <v>1</v>
      </c>
      <c r="C78" s="135"/>
      <c r="D78" s="116" t="s">
        <v>63</v>
      </c>
      <c r="E78" s="80"/>
    </row>
    <row r="79" spans="1:10" ht="13.5" x14ac:dyDescent="0.2">
      <c r="A79" s="127" t="s">
        <v>36</v>
      </c>
      <c r="B79" s="112">
        <v>1</v>
      </c>
      <c r="C79" s="119"/>
      <c r="D79" s="113" t="s">
        <v>59</v>
      </c>
      <c r="E79" s="80"/>
    </row>
    <row r="80" spans="1:10" ht="13.5" x14ac:dyDescent="0.2">
      <c r="A80" s="122"/>
      <c r="B80" s="123"/>
      <c r="C80" s="124" t="s">
        <v>50</v>
      </c>
      <c r="D80" s="125"/>
      <c r="E80" s="126"/>
    </row>
    <row r="81" spans="1:5" ht="13.5" x14ac:dyDescent="0.2">
      <c r="A81" s="137" t="s">
        <v>21</v>
      </c>
      <c r="B81" s="6">
        <v>12</v>
      </c>
      <c r="C81" s="138"/>
      <c r="D81" s="14" t="s">
        <v>137</v>
      </c>
      <c r="E81" s="129"/>
    </row>
    <row r="82" spans="1:5" ht="13.5" x14ac:dyDescent="0.2">
      <c r="A82" s="109"/>
      <c r="B82" s="110"/>
      <c r="C82" s="118" t="s">
        <v>51</v>
      </c>
      <c r="D82" s="111"/>
      <c r="E82" s="111"/>
    </row>
    <row r="83" spans="1:5" ht="13.5" x14ac:dyDescent="0.2">
      <c r="A83" s="5" t="s">
        <v>21</v>
      </c>
      <c r="B83" s="6">
        <v>12</v>
      </c>
      <c r="C83" s="138"/>
      <c r="D83" s="14" t="s">
        <v>138</v>
      </c>
      <c r="E83" s="14"/>
    </row>
    <row r="84" spans="1:5" ht="13.5" x14ac:dyDescent="0.2">
      <c r="A84" s="110"/>
      <c r="B84" s="110"/>
      <c r="C84" s="118" t="s">
        <v>52</v>
      </c>
      <c r="D84" s="111"/>
      <c r="E84" s="111"/>
    </row>
    <row r="85" spans="1:5" ht="13.5" x14ac:dyDescent="0.2">
      <c r="A85" s="165" t="s">
        <v>28</v>
      </c>
      <c r="B85" s="165">
        <v>2</v>
      </c>
      <c r="C85" s="166"/>
      <c r="D85" s="167" t="s">
        <v>139</v>
      </c>
      <c r="E85" s="164" t="s">
        <v>140</v>
      </c>
    </row>
    <row r="86" spans="1:5" ht="13.5" x14ac:dyDescent="0.2">
      <c r="A86" s="162"/>
      <c r="B86" s="115"/>
      <c r="C86" s="131"/>
      <c r="D86" s="116"/>
      <c r="E86" s="163" t="s">
        <v>117</v>
      </c>
    </row>
    <row r="87" spans="1:5" ht="27" x14ac:dyDescent="0.2">
      <c r="A87" s="146" t="s">
        <v>75</v>
      </c>
      <c r="B87" s="79">
        <v>13</v>
      </c>
      <c r="C87" s="121"/>
      <c r="D87" s="80" t="s">
        <v>144</v>
      </c>
      <c r="E87" s="133" t="s">
        <v>141</v>
      </c>
    </row>
    <row r="88" spans="1:5" ht="13.5" x14ac:dyDescent="0.2">
      <c r="A88" s="159" t="s">
        <v>32</v>
      </c>
      <c r="B88" s="6">
        <v>6</v>
      </c>
      <c r="C88" s="121"/>
      <c r="D88" s="14" t="s">
        <v>143</v>
      </c>
      <c r="E88" s="80"/>
    </row>
    <row r="89" spans="1:5" ht="13.5" x14ac:dyDescent="0.2">
      <c r="A89" s="183" t="s">
        <v>21</v>
      </c>
      <c r="B89" s="110">
        <v>6</v>
      </c>
      <c r="C89" s="131"/>
      <c r="D89" s="14" t="s">
        <v>142</v>
      </c>
      <c r="E89" s="80"/>
    </row>
    <row r="90" spans="1:5" ht="13.5" x14ac:dyDescent="0.2">
      <c r="A90" s="134" t="s">
        <v>34</v>
      </c>
      <c r="B90" s="115">
        <v>1</v>
      </c>
      <c r="C90" s="135"/>
      <c r="D90" s="14" t="s">
        <v>63</v>
      </c>
      <c r="E90" s="80"/>
    </row>
    <row r="91" spans="1:5" ht="14.25" thickBot="1" x14ac:dyDescent="0.25">
      <c r="A91" s="127" t="s">
        <v>36</v>
      </c>
      <c r="B91" s="112">
        <v>1</v>
      </c>
      <c r="C91" s="119"/>
      <c r="D91" s="171" t="s">
        <v>59</v>
      </c>
      <c r="E91" s="15"/>
    </row>
    <row r="92" spans="1:5" ht="14.25" thickBot="1" x14ac:dyDescent="0.25">
      <c r="A92" s="76" t="s">
        <v>22</v>
      </c>
      <c r="B92" s="76">
        <f>SUM(B73:B91)</f>
        <v>79</v>
      </c>
      <c r="C92" s="155"/>
      <c r="D92" s="83" t="s">
        <v>37</v>
      </c>
      <c r="E92" s="77"/>
    </row>
    <row r="93" spans="1:5" ht="15" thickBot="1" x14ac:dyDescent="0.35">
      <c r="A93" s="78"/>
      <c r="B93" s="78"/>
      <c r="C93" s="78"/>
      <c r="D93" s="78"/>
      <c r="E93" s="78"/>
    </row>
    <row r="94" spans="1:5" ht="18.75" thickBot="1" x14ac:dyDescent="0.25">
      <c r="A94" s="71" t="s">
        <v>14</v>
      </c>
      <c r="B94" s="72">
        <v>4</v>
      </c>
      <c r="C94" s="72"/>
      <c r="D94" s="73" t="s">
        <v>23</v>
      </c>
      <c r="E94" s="82">
        <v>42905</v>
      </c>
    </row>
    <row r="95" spans="1:5" ht="27.75" thickBot="1" x14ac:dyDescent="0.25">
      <c r="A95" s="74" t="s">
        <v>3</v>
      </c>
      <c r="B95" s="75" t="s">
        <v>15</v>
      </c>
      <c r="C95" s="75" t="s">
        <v>43</v>
      </c>
      <c r="D95" s="74" t="s">
        <v>7</v>
      </c>
      <c r="E95" s="74" t="s">
        <v>13</v>
      </c>
    </row>
    <row r="96" spans="1:5" ht="13.5" x14ac:dyDescent="0.2">
      <c r="A96" s="9"/>
      <c r="B96" s="8"/>
      <c r="C96" s="117" t="s">
        <v>49</v>
      </c>
      <c r="D96" s="13"/>
      <c r="E96" s="13"/>
    </row>
    <row r="97" spans="1:5" ht="14.25" thickBot="1" x14ac:dyDescent="0.25">
      <c r="A97" s="5" t="s">
        <v>75</v>
      </c>
      <c r="B97" s="6">
        <v>24</v>
      </c>
      <c r="C97" s="119"/>
      <c r="D97" s="14" t="s">
        <v>145</v>
      </c>
      <c r="E97" s="14"/>
    </row>
    <row r="98" spans="1:5" ht="14.25" thickBot="1" x14ac:dyDescent="0.25">
      <c r="A98" s="76" t="s">
        <v>22</v>
      </c>
      <c r="B98" s="76">
        <f>SUM(B96:B97)</f>
        <v>24</v>
      </c>
      <c r="C98" s="155"/>
      <c r="D98" s="83" t="s">
        <v>37</v>
      </c>
      <c r="E98" s="77"/>
    </row>
    <row r="99" spans="1:5" ht="14.25" x14ac:dyDescent="0.3">
      <c r="A99" s="78"/>
      <c r="B99" s="78"/>
      <c r="C99" s="78"/>
      <c r="D99" s="78"/>
      <c r="E99" s="78"/>
    </row>
    <row r="100" spans="1:5" x14ac:dyDescent="0.2">
      <c r="A100"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7">
      <formula1>0</formula1>
      <formula2>DureePeriode-1</formula2>
    </dataValidation>
    <dataValidation type="whole" errorStyle="warning" operator="greaterThan" allowBlank="1" showInputMessage="1" showErrorMessage="1" errorTitle="Durée en 1/3 de période" error="Le nombre doit être de type entier" sqref="G49:G66 B96:C97 B3:C36 B41:C68 B73:C9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9:C69 B92:C92 B98:C98">
      <formula1>0</formula1>
      <formula2>NbPerWeek * NbQuartPer</formula2>
    </dataValidation>
    <dataValidation type="list" allowBlank="1" showInputMessage="1" showErrorMessage="1" sqref="A96:A97 A3:A36 A41:A68 A73:A91">
      <formula1>lstTasks</formula1>
    </dataValidation>
  </dataValidations>
  <hyperlinks>
    <hyperlink ref="E6" r:id="rId1"/>
    <hyperlink ref="E7" r:id="rId2"/>
    <hyperlink ref="E8" r:id="rId3"/>
    <hyperlink ref="E13" r:id="rId4"/>
    <hyperlink ref="E20" r:id="rId5"/>
    <hyperlink ref="E29" r:id="rId6"/>
    <hyperlink ref="E25" r:id="rId7"/>
    <hyperlink ref="E32" r:id="rId8"/>
    <hyperlink ref="E46" r:id="rId9"/>
    <hyperlink ref="E50" r:id="rId10"/>
    <hyperlink ref="E52" r:id="rId11"/>
    <hyperlink ref="E54" r:id="rId12"/>
    <hyperlink ref="E55" r:id="rId13"/>
    <hyperlink ref="E59" r:id="rId14"/>
    <hyperlink ref="E60" r:id="rId15"/>
    <hyperlink ref="E61" r:id="rId16"/>
    <hyperlink ref="E62" r:id="rId17"/>
    <hyperlink ref="E74" r:id="rId18"/>
    <hyperlink ref="E75" r:id="rId19"/>
    <hyperlink ref="E76" r:id="rId20"/>
    <hyperlink ref="E77" r:id="rId21"/>
    <hyperlink ref="E85" r:id="rId22"/>
    <hyperlink ref="E86" r:id="rId23"/>
    <hyperlink ref="E87" r:id="rId24"/>
  </hyperlinks>
  <printOptions horizontalCentered="1" verticalCentered="1"/>
  <pageMargins left="0.25" right="0.25" top="0.75" bottom="0.75" header="0.3" footer="0.3"/>
  <pageSetup paperSize="9" scale="54" fitToHeight="0" orientation="portrait" cellComments="atEnd" r:id="rId25"/>
  <headerFooter>
    <oddHeader>&amp;L&amp;"ETML L,Normal"&amp;24ETML</oddHeader>
    <oddFooter>&amp;C&amp;F&amp;L&amp;D</oddFooter>
  </headerFooter>
  <drawing r:id="rId26"/>
  <legacyDrawing r:id="rId27"/>
  <controls>
    <mc:AlternateContent xmlns:mc="http://schemas.openxmlformats.org/markup-compatibility/2006">
      <mc:Choice Requires="x14">
        <control shapeId="41985" r:id="rId28" name="btnImportRealisation">
          <controlPr defaultSize="0" autoLine="0" autoPict="0" r:id="rId29">
            <anchor moveWithCells="1">
              <from>
                <xdr:col>5</xdr:col>
                <xdr:colOff>590550</xdr:colOff>
                <xdr:row>0</xdr:row>
                <xdr:rowOff>180975</xdr:rowOff>
              </from>
              <to>
                <xdr:col>8</xdr:col>
                <xdr:colOff>190500</xdr:colOff>
                <xdr:row>2</xdr:row>
                <xdr:rowOff>66675</xdr:rowOff>
              </to>
            </anchor>
          </controlPr>
        </control>
      </mc:Choice>
      <mc:Fallback>
        <control shapeId="41985" r:id="rId2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2017-06-16T11:45:18Z</dcterms:modified>
  <cp:contentStatus>Version 8.0</cp:contentStatus>
</cp:coreProperties>
</file>