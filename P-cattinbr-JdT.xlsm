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"/>
    </mc:Choice>
  </mc:AlternateContent>
  <bookViews>
    <workbookView xWindow="0" yWindow="0" windowWidth="25200" windowHeight="1203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Planning!$A$1:$E$30</definedName>
    <definedName name="objPlanifWeek">PlanificationWeek!$A$1:$D$14</definedName>
    <definedName name="objRealizedWeek" localSheetId="5">achievementWeek!$A$1:$D$19</definedName>
    <definedName name="objRealizedWeek" localSheetId="6">JNLTRAV!$A$1:$E$30</definedName>
    <definedName name="_xlnm.Print_Area" localSheetId="1">Diagramme!$A$1:$MZ$27</definedName>
    <definedName name="_xlnm.Print_Area" localSheetId="0">Donnees!$A$1:$G$54</definedName>
    <definedName name="_xlnm.Print_Area" localSheetId="6">JNLTRAV!$A$1:$E$96</definedName>
    <definedName name="_xlnm.Print_Area" localSheetId="7">Planning!$A$1:$E$88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59" i="155" l="1"/>
  <c r="B29" i="155"/>
  <c r="B52" i="156" l="1"/>
  <c r="B23" i="157"/>
  <c r="B21" i="157"/>
  <c r="B19" i="157"/>
  <c r="B17" i="157"/>
  <c r="B15" i="157"/>
  <c r="B13" i="157"/>
  <c r="B11" i="157"/>
  <c r="B9" i="157"/>
  <c r="B7" i="157"/>
  <c r="B5" i="157"/>
  <c r="C26" i="157"/>
  <c r="C25" i="157"/>
  <c r="B87" i="156"/>
  <c r="B81" i="156"/>
  <c r="B29" i="156"/>
  <c r="B95" i="155"/>
  <c r="B89" i="155"/>
  <c r="B18" i="154" l="1"/>
  <c r="B13" i="11"/>
</calcChain>
</file>

<file path=xl/sharedStrings.xml><?xml version="1.0" encoding="utf-8"?>
<sst xmlns="http://schemas.openxmlformats.org/spreadsheetml/2006/main" count="318" uniqueCount="89">
  <si>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</si>
  <si>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</si>
  <si>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</si>
  <si>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</si>
  <si>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</si>
  <si>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</si>
  <si>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</si>
  <si>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</si>
  <si>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</si>
  <si>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</si>
  <si>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</si>
  <si>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</si>
  <si>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</si>
  <si>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</si>
  <si>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</si>
  <si>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</si>
  <si>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</si>
  <si>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</si>
  <si>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</si>
  <si>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</si>
  <si>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</si>
  <si>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</si>
  <si>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</si>
  <si>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</si>
  <si>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</si>
  <si>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Bruno Cattin</t>
  </si>
  <si>
    <t>N508B</t>
  </si>
  <si>
    <t>ETML</t>
  </si>
  <si>
    <t>Recherches Internet</t>
  </si>
  <si>
    <t>Code</t>
  </si>
  <si>
    <t>Manipulation Arduino</t>
  </si>
  <si>
    <t>Modifications</t>
  </si>
  <si>
    <t>Présentation</t>
  </si>
  <si>
    <t>Tests</t>
  </si>
  <si>
    <t>GitKraken</t>
  </si>
  <si>
    <t>Analyse et conception</t>
  </si>
  <si>
    <t>JdT</t>
  </si>
  <si>
    <t>Max. 90</t>
  </si>
  <si>
    <t>STOP</t>
  </si>
  <si>
    <t>S 1</t>
  </si>
  <si>
    <t>S 2</t>
  </si>
  <si>
    <t>S 3</t>
  </si>
  <si>
    <t>S 4</t>
  </si>
  <si>
    <t>Jour de la semaine</t>
  </si>
  <si>
    <t>Introduction à DémoMot et aux professeurs</t>
  </si>
  <si>
    <t>Recherche d'un sujet (orienté "embarqué")</t>
  </si>
  <si>
    <t>Projets Arduino</t>
  </si>
  <si>
    <t>Projets Raspberry</t>
  </si>
  <si>
    <t>Recherches à propos d'un projet sur un Arduino ou / et un Raspberry Pi (j'ai cliqué sur approximativement tout les projets des 10 premières pages contenus dans ces liens)</t>
  </si>
  <si>
    <t>LUNDI (27)</t>
  </si>
  <si>
    <t>MARDI (12)</t>
  </si>
  <si>
    <t>MERCREDI (27)</t>
  </si>
  <si>
    <t>VENDREDI (27)</t>
  </si>
  <si>
    <t>Rédaction du cahier des charges</t>
  </si>
  <si>
    <t>H-CdC-DemoMot-cattinbr.docx</t>
  </si>
  <si>
    <t>Création du fichier de la planification avec JdT + création de la planification en elle-même</t>
  </si>
  <si>
    <t>Discussion à propos du CdC + validation</t>
  </si>
  <si>
    <t>Max. 24</t>
  </si>
  <si>
    <t>Préparation et organisation des rangements</t>
  </si>
  <si>
    <t>Remplir mon JdT</t>
  </si>
  <si>
    <t>Apprendre à utiliser l'Arduino</t>
  </si>
  <si>
    <t>Modification de l'analyse du code</t>
  </si>
  <si>
    <t>Code de l' "interface" du jeu Tetris</t>
  </si>
  <si>
    <t>Mise à jour dans GitKraken</t>
  </si>
  <si>
    <t>Continuer à apprendre à utiliser l'Arduino</t>
  </si>
  <si>
    <t xml:space="preserve">Finition de l'interface </t>
  </si>
  <si>
    <t>Arranger les connectiques de l'arduino</t>
  </si>
  <si>
    <t>Création des schémas + si besoin une "UI"</t>
  </si>
  <si>
    <t>Début du code des fonctionnalités</t>
  </si>
  <si>
    <t>Lundi de Pentecôte</t>
  </si>
  <si>
    <t xml:space="preserve">Suite du code des fonctionnalités </t>
  </si>
  <si>
    <t>Recherches diverses sur Arduino et C#</t>
  </si>
  <si>
    <t>Modifications code / Arduino</t>
  </si>
  <si>
    <t>Tests du code et de l'Arduino</t>
  </si>
  <si>
    <t>Fin du code</t>
  </si>
  <si>
    <t>Documentation</t>
  </si>
  <si>
    <t>Préparation du mode d'emploi</t>
  </si>
  <si>
    <t>Test du code et de l'Arduino</t>
  </si>
  <si>
    <t>Finitions</t>
  </si>
  <si>
    <t>Continuation du mode d'emploi</t>
  </si>
  <si>
    <t>Création de la présentation</t>
  </si>
  <si>
    <t>Tests finaux</t>
  </si>
  <si>
    <t>Continuation de la présention</t>
  </si>
  <si>
    <t>Finalisation de la documentation</t>
  </si>
  <si>
    <t>Finalisation de la présentation</t>
  </si>
  <si>
    <t>Modifications diverses</t>
  </si>
  <si>
    <t>Tests finaux de la présentation de la docu de l'arduino et du code</t>
  </si>
  <si>
    <t>Recherches diverses</t>
  </si>
  <si>
    <t>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</si>
</sst>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i/>
      <sz val="10"/>
      <name val="Century Gothic"/>
      <family val="2"/>
      <scheme val="minor"/>
    </font>
    <font>
      <sz val="10"/>
      <color theme="0" tint="-0.1499984740745262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6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4" borderId="13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left" vertical="top" wrapTex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0" fillId="0" borderId="49" xfId="0" applyFont="1" applyFill="1" applyBorder="1" applyAlignment="1" applyProtection="1">
      <alignment horizontal="center" vertical="center" wrapText="1"/>
      <protection locked="0"/>
    </xf>
    <xf numFmtId="0" fontId="21" fillId="15" borderId="48" xfId="0" applyFont="1" applyFill="1" applyBorder="1" applyAlignment="1" applyProtection="1">
      <alignment horizontal="center" vertical="center" wrapText="1"/>
      <protection locked="0"/>
    </xf>
    <xf numFmtId="0" fontId="21" fillId="15" borderId="36" xfId="0" applyFont="1" applyFill="1" applyBorder="1" applyAlignment="1" applyProtection="1">
      <alignment horizontal="center" vertical="center" wrapText="1"/>
      <protection locked="0"/>
    </xf>
    <xf numFmtId="0" fontId="21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50" xfId="1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2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0" borderId="52" xfId="0" applyFont="1" applyFill="1" applyBorder="1" applyAlignment="1" applyProtection="1">
      <alignment horizontal="left" vertical="top" wrapText="1"/>
      <protection locked="0"/>
    </xf>
    <xf numFmtId="0" fontId="10" fillId="0" borderId="53" xfId="1" applyFont="1" applyFill="1" applyBorder="1" applyAlignment="1" applyProtection="1">
      <alignment horizontal="center" vertical="center" wrapText="1"/>
      <protection locked="0"/>
    </xf>
    <xf numFmtId="0" fontId="10" fillId="0" borderId="54" xfId="0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49" xfId="1" applyFill="1" applyBorder="1" applyAlignment="1" applyProtection="1">
      <alignment horizontal="left" vertical="top" wrapText="1"/>
      <protection locked="0"/>
    </xf>
    <xf numFmtId="0" fontId="21" fillId="15" borderId="49" xfId="0" applyFont="1" applyFill="1" applyBorder="1" applyAlignment="1" applyProtection="1">
      <alignment horizontal="center" vertical="center" wrapText="1"/>
      <protection locked="0"/>
    </xf>
    <xf numFmtId="0" fontId="21" fillId="15" borderId="33" xfId="0" applyFont="1" applyFill="1" applyBorder="1" applyAlignment="1" applyProtection="1">
      <alignment horizontal="center" vertical="center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5" xfId="1" applyFont="1" applyFill="1" applyBorder="1" applyAlignment="1" applyProtection="1">
      <alignment horizontal="center" vertical="center" wrapText="1"/>
      <protection locked="0"/>
    </xf>
    <xf numFmtId="0" fontId="20" fillId="15" borderId="36" xfId="0" applyFont="1" applyFill="1" applyBorder="1" applyAlignment="1" applyProtection="1">
      <alignment horizontal="center" vertical="center" wrapText="1"/>
      <protection locked="0"/>
    </xf>
    <xf numFmtId="0" fontId="2" fillId="0" borderId="8" xfId="1" applyFill="1" applyBorder="1" applyAlignment="1" applyProtection="1">
      <alignment horizontal="left" vertical="top" wrapText="1"/>
      <protection locked="0"/>
    </xf>
    <xf numFmtId="0" fontId="10" fillId="0" borderId="22" xfId="1" applyFont="1" applyFill="1" applyBorder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9" xfId="1" applyFont="1" applyFill="1" applyBorder="1" applyAlignment="1" applyProtection="1">
      <alignment horizontal="center" vertical="center" wrapText="1"/>
      <protection locked="0"/>
    </xf>
    <xf numFmtId="0" fontId="10" fillId="0" borderId="56" xfId="1" applyFont="1" applyFill="1" applyBorder="1" applyAlignment="1" applyProtection="1">
      <alignment horizontal="center" vertical="center" wrapText="1"/>
      <protection locked="0"/>
    </xf>
    <xf numFmtId="0" fontId="10" fillId="0" borderId="57" xfId="0" applyFont="1" applyFill="1" applyBorder="1" applyAlignment="1" applyProtection="1">
      <alignment horizontal="left" vertical="top" wrapText="1"/>
      <protection locked="0"/>
    </xf>
    <xf numFmtId="0" fontId="10" fillId="0" borderId="58" xfId="1" applyFont="1" applyFill="1" applyBorder="1" applyAlignment="1" applyProtection="1">
      <alignment horizontal="center" vertical="center" wrapText="1"/>
      <protection locked="0"/>
    </xf>
    <xf numFmtId="0" fontId="20" fillId="15" borderId="33" xfId="0" applyFont="1" applyFill="1" applyBorder="1" applyAlignment="1" applyProtection="1">
      <alignment horizontal="center" vertical="center" wrapText="1"/>
      <protection locked="0"/>
    </xf>
    <xf numFmtId="0" fontId="10" fillId="0" borderId="59" xfId="0" applyFont="1" applyFill="1" applyBorder="1" applyAlignment="1" applyProtection="1">
      <alignment horizontal="left" vertical="top" wrapText="1"/>
      <protection locked="0"/>
    </xf>
    <xf numFmtId="0" fontId="2" fillId="0" borderId="57" xfId="1" applyFill="1" applyBorder="1" applyAlignment="1" applyProtection="1">
      <alignment horizontal="left" vertical="top" wrapText="1"/>
      <protection locked="0"/>
    </xf>
    <xf numFmtId="0" fontId="10" fillId="0" borderId="58" xfId="0" applyFont="1" applyFill="1" applyBorder="1" applyAlignment="1" applyProtection="1">
      <alignment horizontal="center" vertical="center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60" xfId="1" applyFont="1" applyFill="1" applyBorder="1" applyAlignment="1" applyProtection="1">
      <alignment horizontal="center" vertical="center" wrapText="1"/>
      <protection locked="0"/>
    </xf>
    <xf numFmtId="0" fontId="10" fillId="0" borderId="61" xfId="1" applyFont="1" applyFill="1" applyBorder="1" applyAlignment="1" applyProtection="1">
      <alignment horizontal="center" vertical="center" wrapText="1"/>
      <protection locked="0"/>
    </xf>
    <xf numFmtId="0" fontId="20" fillId="15" borderId="49" xfId="0" applyFont="1" applyFill="1" applyBorder="1" applyAlignment="1" applyProtection="1">
      <alignment horizontal="center" vertical="center" wrapText="1"/>
      <protection locked="0"/>
    </xf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  <xf numFmtId="0" fontId="0" fillId="16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15" fillId="9" borderId="0" xfId="0" applyFont="1" applyFill="1" applyProtection="1"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66675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-CdC-DemoMot-cattinbr.docx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-CdC-DemoMot-cattinbr.docx" TargetMode="Externa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-CdC-DemoMot-cattinbr.docx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-CdC-DemoMot-cattinbr.docx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" zoomScaleNormal="100" workbookViewId="0">
      <selection activeCell="C24" sqref="C24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7" t="s">
        <v>19</v>
      </c>
      <c r="C19" s="14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75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26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9" t="s">
        <v>39</v>
      </c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1"/>
      <c r="CP2" s="149" t="s">
        <v>40</v>
      </c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  <c r="ER2" s="150"/>
      <c r="ES2" s="150"/>
      <c r="ET2" s="150"/>
      <c r="EU2" s="150"/>
      <c r="EV2" s="150"/>
      <c r="EW2" s="150"/>
      <c r="EX2" s="150"/>
      <c r="EY2" s="150"/>
      <c r="EZ2" s="150"/>
      <c r="FA2" s="150"/>
      <c r="FB2" s="150"/>
      <c r="FC2" s="150"/>
      <c r="FD2" s="150"/>
      <c r="FE2" s="150"/>
      <c r="FF2" s="150"/>
      <c r="FG2" s="150"/>
      <c r="FH2" s="150"/>
      <c r="FI2" s="150"/>
      <c r="FJ2" s="150"/>
      <c r="FK2" s="150"/>
      <c r="FL2" s="150"/>
      <c r="FM2" s="150"/>
      <c r="FN2" s="150"/>
      <c r="FO2" s="150"/>
      <c r="FP2" s="150"/>
      <c r="FQ2" s="150"/>
      <c r="FR2" s="150"/>
      <c r="FS2" s="150"/>
      <c r="FT2" s="150"/>
      <c r="FU2" s="150"/>
      <c r="FV2" s="150"/>
      <c r="FW2" s="150"/>
      <c r="FX2" s="150"/>
      <c r="FY2" s="150"/>
      <c r="FZ2" s="150"/>
      <c r="GA2" s="151"/>
      <c r="GB2" s="149" t="s">
        <v>41</v>
      </c>
      <c r="GC2" s="150"/>
      <c r="GD2" s="150"/>
      <c r="GE2" s="150"/>
      <c r="GF2" s="150"/>
      <c r="GG2" s="150"/>
      <c r="GH2" s="150"/>
      <c r="GI2" s="150"/>
      <c r="GJ2" s="150"/>
      <c r="GK2" s="150"/>
      <c r="GL2" s="150"/>
      <c r="GM2" s="150"/>
      <c r="GN2" s="150"/>
      <c r="GO2" s="150"/>
      <c r="GP2" s="150"/>
      <c r="GQ2" s="150"/>
      <c r="GR2" s="150"/>
      <c r="GS2" s="150"/>
      <c r="GT2" s="150"/>
      <c r="GU2" s="150"/>
      <c r="GV2" s="150"/>
      <c r="GW2" s="150"/>
      <c r="GX2" s="150"/>
      <c r="GY2" s="150"/>
      <c r="GZ2" s="150"/>
      <c r="HA2" s="150"/>
      <c r="HB2" s="150"/>
      <c r="HC2" s="150"/>
      <c r="HD2" s="150"/>
      <c r="HE2" s="150"/>
      <c r="HF2" s="150"/>
      <c r="HG2" s="150"/>
      <c r="HH2" s="150"/>
      <c r="HI2" s="150"/>
      <c r="HJ2" s="150"/>
      <c r="HK2" s="150"/>
      <c r="HL2" s="150"/>
      <c r="HM2" s="150"/>
      <c r="HN2" s="150"/>
      <c r="HO2" s="150"/>
      <c r="HP2" s="150"/>
      <c r="HQ2" s="150"/>
      <c r="HR2" s="150"/>
      <c r="HS2" s="150"/>
      <c r="HT2" s="150"/>
      <c r="HU2" s="150"/>
      <c r="HV2" s="150"/>
      <c r="HW2" s="150"/>
      <c r="HX2" s="150"/>
      <c r="HY2" s="150"/>
      <c r="HZ2" s="150"/>
      <c r="IA2" s="150"/>
      <c r="IB2" s="150"/>
      <c r="IC2" s="150"/>
      <c r="ID2" s="150"/>
      <c r="IE2" s="150"/>
      <c r="IF2" s="150"/>
      <c r="IG2" s="150"/>
      <c r="IH2" s="150"/>
      <c r="II2" s="150"/>
      <c r="IJ2" s="150"/>
      <c r="IK2" s="150"/>
      <c r="IL2" s="150"/>
      <c r="IM2" s="150"/>
      <c r="IN2" s="150"/>
      <c r="IO2" s="150"/>
      <c r="IP2" s="150"/>
      <c r="IQ2" s="150"/>
      <c r="IR2" s="150"/>
      <c r="IS2" s="150"/>
      <c r="IT2" s="150"/>
      <c r="IU2" s="150"/>
      <c r="IV2" s="150"/>
      <c r="IW2" s="150"/>
      <c r="IX2" s="150"/>
      <c r="IY2" s="150"/>
      <c r="IZ2" s="150"/>
      <c r="JA2" s="150"/>
      <c r="JB2" s="150"/>
      <c r="JC2" s="150"/>
      <c r="JD2" s="150"/>
      <c r="JE2" s="150"/>
      <c r="JF2" s="150"/>
      <c r="JG2" s="150"/>
      <c r="JH2" s="150"/>
      <c r="JI2" s="150"/>
      <c r="JJ2" s="150"/>
      <c r="JK2" s="150"/>
      <c r="JL2" s="150"/>
      <c r="JM2" s="151"/>
      <c r="JN2" s="149" t="s">
        <v>42</v>
      </c>
      <c r="JO2" s="150"/>
      <c r="JP2" s="150"/>
      <c r="JQ2" s="150"/>
      <c r="JR2" s="150"/>
      <c r="JS2" s="150"/>
      <c r="JT2" s="150"/>
      <c r="JU2" s="150"/>
      <c r="JV2" s="150"/>
      <c r="JW2" s="150"/>
      <c r="JX2" s="150"/>
      <c r="JY2" s="150"/>
      <c r="JZ2" s="150"/>
      <c r="KA2" s="150"/>
      <c r="KB2" s="150"/>
      <c r="KC2" s="150"/>
      <c r="KD2" s="150"/>
      <c r="KE2" s="150"/>
      <c r="KF2" s="150"/>
      <c r="KG2" s="150"/>
      <c r="KH2" s="150"/>
      <c r="KI2" s="150"/>
      <c r="KJ2" s="150"/>
      <c r="KK2" s="150"/>
      <c r="KL2" s="150"/>
      <c r="KM2" s="150"/>
      <c r="KN2" s="150"/>
      <c r="KO2" s="150"/>
      <c r="KP2" s="150"/>
      <c r="KQ2" s="150"/>
      <c r="KR2" s="150"/>
      <c r="KS2" s="150"/>
      <c r="KT2" s="150"/>
      <c r="KU2" s="150"/>
      <c r="KV2" s="150"/>
      <c r="KW2" s="150"/>
      <c r="KX2" s="150"/>
      <c r="KY2" s="150"/>
      <c r="KZ2" s="150"/>
      <c r="LA2" s="150"/>
      <c r="LB2" s="150"/>
      <c r="LC2" s="150"/>
      <c r="LD2" s="150"/>
      <c r="LE2" s="150"/>
      <c r="LF2" s="150"/>
      <c r="LG2" s="150"/>
      <c r="LH2" s="150"/>
      <c r="LI2" s="150"/>
      <c r="LJ2" s="150"/>
      <c r="LK2" s="150"/>
      <c r="LL2" s="150"/>
      <c r="LM2" s="150"/>
      <c r="LN2" s="150"/>
      <c r="LO2" s="150"/>
      <c r="LP2" s="150"/>
      <c r="LQ2" s="150"/>
      <c r="LR2" s="150"/>
      <c r="LS2" s="150"/>
      <c r="LT2" s="150"/>
      <c r="LU2" s="150"/>
      <c r="LV2" s="150"/>
      <c r="LW2" s="150"/>
      <c r="LX2" s="150"/>
      <c r="LY2" s="150"/>
      <c r="LZ2" s="150"/>
      <c r="MA2" s="150"/>
      <c r="MB2" s="150"/>
      <c r="MC2" s="150"/>
      <c r="MD2" s="150"/>
      <c r="ME2" s="150"/>
      <c r="MF2" s="150"/>
      <c r="MG2" s="150"/>
      <c r="MH2" s="150"/>
      <c r="MI2" s="150"/>
      <c r="MJ2" s="150"/>
      <c r="MK2" s="150"/>
      <c r="ML2" s="150"/>
      <c r="MM2" s="150"/>
      <c r="MN2" s="150"/>
      <c r="MO2" s="150"/>
      <c r="MP2" s="150"/>
      <c r="MQ2" s="150"/>
      <c r="MR2" s="150"/>
      <c r="MS2" s="150"/>
      <c r="MT2" s="150"/>
      <c r="MU2" s="150"/>
      <c r="MV2" s="150"/>
      <c r="MW2" s="150"/>
      <c r="MX2" s="150"/>
      <c r="MY2" s="151"/>
    </row>
    <row r="3" spans="1:363" ht="19.5" customHeight="1" x14ac:dyDescent="0.2">
      <c r="A3" s="88"/>
      <c r="B3" s="154" t="s">
        <v>21</v>
      </c>
      <c r="C3" s="30">
        <v>55</v>
      </c>
      <c r="D3" s="161"/>
      <c r="E3" s="162"/>
      <c r="F3" s="163"/>
      <c r="G3" s="164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163"/>
      <c r="CS3" s="164"/>
      <c r="CT3" s="162"/>
      <c r="CU3" s="163"/>
      <c r="CV3" s="164"/>
      <c r="CW3" s="162"/>
      <c r="CX3" s="163"/>
      <c r="CY3" s="164"/>
      <c r="CZ3" s="162"/>
      <c r="DA3" s="163"/>
      <c r="DB3" s="164"/>
      <c r="DC3" s="162"/>
      <c r="DD3" s="163"/>
      <c r="DE3" s="164"/>
      <c r="DF3" s="162"/>
      <c r="DG3" s="163"/>
      <c r="DH3" s="164"/>
      <c r="DI3" s="162"/>
      <c r="DJ3" s="163"/>
      <c r="DK3" s="164"/>
      <c r="DL3" s="162"/>
      <c r="DM3" s="163"/>
      <c r="DN3" s="164"/>
      <c r="DO3" s="162"/>
      <c r="DP3" s="163"/>
      <c r="DQ3" s="164"/>
      <c r="DR3" s="162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163"/>
      <c r="JW3" s="164"/>
      <c r="JX3" s="162"/>
      <c r="JY3" s="163"/>
      <c r="JZ3" s="164"/>
      <c r="KA3" s="162"/>
      <c r="KB3" s="163"/>
      <c r="KC3" s="164"/>
      <c r="KD3" s="162"/>
      <c r="KE3" s="163"/>
      <c r="KF3" s="164"/>
      <c r="KG3" s="162"/>
      <c r="KH3" s="163"/>
      <c r="KI3" s="164"/>
      <c r="KJ3" s="162"/>
      <c r="KK3" s="163"/>
      <c r="KL3" s="164"/>
      <c r="KM3" s="162"/>
      <c r="KN3" s="163"/>
      <c r="KO3" s="164"/>
      <c r="KP3" s="162"/>
      <c r="KQ3" s="163"/>
      <c r="KR3" s="164"/>
      <c r="KS3" s="162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55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6" t="str">
        <f>Donnees!$C$21</f>
        <v>Recherches Internet</v>
      </c>
      <c r="C5" s="99">
        <v>14</v>
      </c>
      <c r="D5" s="89"/>
      <c r="E5" s="90"/>
      <c r="F5" s="91"/>
      <c r="G5" s="92"/>
      <c r="H5" s="162"/>
      <c r="I5" s="163"/>
      <c r="J5" s="164"/>
      <c r="K5" s="162"/>
      <c r="L5" s="163"/>
      <c r="M5" s="164"/>
      <c r="N5" s="90"/>
      <c r="O5" s="91"/>
      <c r="P5" s="92"/>
      <c r="Q5" s="90"/>
      <c r="R5" s="91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163"/>
      <c r="EF5" s="164"/>
      <c r="EG5" s="162"/>
      <c r="EH5" s="163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163"/>
      <c r="JK5" s="164"/>
      <c r="JL5" s="162"/>
      <c r="JM5" s="165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3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2" t="str">
        <f>Donnees!$C$22</f>
        <v>Code</v>
      </c>
      <c r="C7" s="99">
        <v>59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164"/>
      <c r="BG7" s="162"/>
      <c r="BH7" s="163"/>
      <c r="BI7" s="164"/>
      <c r="BJ7" s="162"/>
      <c r="BK7" s="163"/>
      <c r="BL7" s="164"/>
      <c r="BM7" s="162"/>
      <c r="BN7" s="163"/>
      <c r="BO7" s="92"/>
      <c r="BP7" s="90"/>
      <c r="BQ7" s="91"/>
      <c r="BR7" s="92"/>
      <c r="BS7" s="90"/>
      <c r="BT7" s="91"/>
      <c r="BU7" s="92"/>
      <c r="BV7" s="162"/>
      <c r="BW7" s="163"/>
      <c r="BX7" s="164"/>
      <c r="BY7" s="162"/>
      <c r="BZ7" s="163"/>
      <c r="CA7" s="164"/>
      <c r="CB7" s="162"/>
      <c r="CC7" s="163"/>
      <c r="CD7" s="164"/>
      <c r="CE7" s="162"/>
      <c r="CF7" s="163"/>
      <c r="CG7" s="164"/>
      <c r="CH7" s="162"/>
      <c r="CI7" s="163"/>
      <c r="CJ7" s="164"/>
      <c r="CK7" s="162"/>
      <c r="CL7" s="163"/>
      <c r="CM7" s="164"/>
      <c r="CN7" s="162"/>
      <c r="CO7" s="165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163"/>
      <c r="DZ7" s="164"/>
      <c r="EA7" s="162"/>
      <c r="EB7" s="163"/>
      <c r="EC7" s="92"/>
      <c r="ED7" s="90"/>
      <c r="EE7" s="91"/>
      <c r="EF7" s="92"/>
      <c r="EG7" s="90"/>
      <c r="EH7" s="91"/>
      <c r="EI7" s="164"/>
      <c r="EJ7" s="162"/>
      <c r="EK7" s="163"/>
      <c r="EL7" s="164"/>
      <c r="EM7" s="162"/>
      <c r="EN7" s="163"/>
      <c r="EO7" s="164"/>
      <c r="EP7" s="162"/>
      <c r="EQ7" s="163"/>
      <c r="ER7" s="164"/>
      <c r="ES7" s="162"/>
      <c r="ET7" s="163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163"/>
      <c r="FM7" s="164"/>
      <c r="FN7" s="162"/>
      <c r="FO7" s="163"/>
      <c r="FP7" s="164"/>
      <c r="FQ7" s="162"/>
      <c r="FR7" s="163"/>
      <c r="FS7" s="164"/>
      <c r="FT7" s="162"/>
      <c r="FU7" s="163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64"/>
      <c r="GR7" s="162"/>
      <c r="GS7" s="163"/>
      <c r="GT7" s="164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3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2" t="str">
        <f>Donnees!$C$23</f>
        <v>Manipulation Arduino</v>
      </c>
      <c r="C9" s="99">
        <v>15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164"/>
      <c r="AR9" s="162"/>
      <c r="AS9" s="163"/>
      <c r="AT9" s="164"/>
      <c r="AU9" s="162"/>
      <c r="AV9" s="163"/>
      <c r="AW9" s="164"/>
      <c r="AX9" s="162"/>
      <c r="AY9" s="163"/>
      <c r="AZ9" s="164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163"/>
      <c r="BR9" s="164"/>
      <c r="BS9" s="162"/>
      <c r="BT9" s="163"/>
      <c r="BU9" s="164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3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2" t="str">
        <f>Donnees!$C$24</f>
        <v>Documentation</v>
      </c>
      <c r="C11" s="99">
        <v>32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164"/>
      <c r="FW11" s="162"/>
      <c r="FX11" s="163"/>
      <c r="FY11" s="164"/>
      <c r="FZ11" s="162"/>
      <c r="GA11" s="165"/>
      <c r="GB11" s="161"/>
      <c r="GC11" s="162"/>
      <c r="GD11" s="163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162"/>
      <c r="GV11" s="163"/>
      <c r="GW11" s="164"/>
      <c r="GX11" s="162"/>
      <c r="GY11" s="163"/>
      <c r="GZ11" s="164"/>
      <c r="HA11" s="162"/>
      <c r="HB11" s="91"/>
      <c r="HC11" s="92"/>
      <c r="HD11" s="90"/>
      <c r="HE11" s="91"/>
      <c r="HF11" s="92"/>
      <c r="HG11" s="90"/>
      <c r="HH11" s="91"/>
      <c r="HI11" s="92"/>
      <c r="HJ11" s="90"/>
      <c r="HK11" s="163"/>
      <c r="HL11" s="164"/>
      <c r="HM11" s="162"/>
      <c r="HN11" s="163"/>
      <c r="HO11" s="164"/>
      <c r="HP11" s="162"/>
      <c r="HQ11" s="91"/>
      <c r="HR11" s="92"/>
      <c r="HS11" s="90"/>
      <c r="HT11" s="163"/>
      <c r="HU11" s="164"/>
      <c r="HV11" s="162"/>
      <c r="HW11" s="163"/>
      <c r="HX11" s="164"/>
      <c r="HY11" s="162"/>
      <c r="HZ11" s="163"/>
      <c r="IA11" s="164"/>
      <c r="IB11" s="162"/>
      <c r="IC11" s="163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3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2" t="str">
        <f>Donnees!$C$25</f>
        <v>Modifications</v>
      </c>
      <c r="C13" s="99">
        <v>27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162"/>
      <c r="BB13" s="163"/>
      <c r="BC13" s="164"/>
      <c r="BD13" s="162"/>
      <c r="BE13" s="163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163"/>
      <c r="DT13" s="164"/>
      <c r="DU13" s="162"/>
      <c r="DV13" s="163"/>
      <c r="DW13" s="164"/>
      <c r="DX13" s="162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164"/>
      <c r="EV13" s="162"/>
      <c r="EW13" s="163"/>
      <c r="EX13" s="164"/>
      <c r="EY13" s="162"/>
      <c r="EZ13" s="163"/>
      <c r="FA13" s="164"/>
      <c r="FB13" s="162"/>
      <c r="FC13" s="163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163"/>
      <c r="IM13" s="164"/>
      <c r="IN13" s="162"/>
      <c r="IO13" s="163"/>
      <c r="IP13" s="164"/>
      <c r="IQ13" s="162"/>
      <c r="IR13" s="163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3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2" t="str">
        <f>Donnees!$C$26</f>
        <v>Présentation</v>
      </c>
      <c r="C15" s="99">
        <v>13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163"/>
      <c r="HC15" s="164"/>
      <c r="HD15" s="162"/>
      <c r="HE15" s="163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163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164"/>
      <c r="IE15" s="162"/>
      <c r="IF15" s="163"/>
      <c r="IG15" s="164"/>
      <c r="IH15" s="162"/>
      <c r="II15" s="163"/>
      <c r="IJ15" s="164"/>
      <c r="IK15" s="162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3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2" t="str">
        <f>Donnees!$C$27</f>
        <v>Tests</v>
      </c>
      <c r="C17" s="99">
        <v>40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163"/>
      <c r="FG17" s="164"/>
      <c r="FH17" s="162"/>
      <c r="FI17" s="163"/>
      <c r="FJ17" s="164"/>
      <c r="FK17" s="162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163"/>
      <c r="GH17" s="164"/>
      <c r="GI17" s="162"/>
      <c r="GJ17" s="163"/>
      <c r="GK17" s="164"/>
      <c r="GL17" s="162"/>
      <c r="GM17" s="163"/>
      <c r="GN17" s="164"/>
      <c r="GO17" s="162"/>
      <c r="GP17" s="163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163"/>
      <c r="HI17" s="164"/>
      <c r="HJ17" s="162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163"/>
      <c r="IV17" s="164"/>
      <c r="IW17" s="162"/>
      <c r="IX17" s="163"/>
      <c r="IY17" s="164"/>
      <c r="IZ17" s="162"/>
      <c r="JA17" s="163"/>
      <c r="JB17" s="164"/>
      <c r="JC17" s="162"/>
      <c r="JD17" s="163"/>
      <c r="JE17" s="164"/>
      <c r="JF17" s="162"/>
      <c r="JG17" s="163"/>
      <c r="JH17" s="164"/>
      <c r="JI17" s="162"/>
      <c r="JJ17" s="91"/>
      <c r="JK17" s="92"/>
      <c r="JL17" s="90"/>
      <c r="JM17" s="93"/>
      <c r="JN17" s="161"/>
      <c r="JO17" s="162"/>
      <c r="JP17" s="163"/>
      <c r="JQ17" s="164"/>
      <c r="JR17" s="162"/>
      <c r="JS17" s="163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3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2" t="str">
        <f>Donnees!$C$28</f>
        <v>GitKraken</v>
      </c>
      <c r="C19" s="99">
        <v>11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164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162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164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161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164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164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164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164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164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164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164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3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2" t="str">
        <f>Donnees!$C$29</f>
        <v>Analyse et conception</v>
      </c>
      <c r="C21" s="99">
        <v>24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162"/>
      <c r="O21" s="163"/>
      <c r="P21" s="164"/>
      <c r="Q21" s="162"/>
      <c r="R21" s="163"/>
      <c r="S21" s="164"/>
      <c r="T21" s="162"/>
      <c r="U21" s="163"/>
      <c r="V21" s="164"/>
      <c r="W21" s="162"/>
      <c r="X21" s="163"/>
      <c r="Y21" s="164"/>
      <c r="Z21" s="162"/>
      <c r="AA21" s="163"/>
      <c r="AB21" s="92"/>
      <c r="AC21" s="90"/>
      <c r="AD21" s="91"/>
      <c r="AE21" s="164"/>
      <c r="AF21" s="162"/>
      <c r="AG21" s="163"/>
      <c r="AH21" s="164"/>
      <c r="AI21" s="162"/>
      <c r="AJ21" s="163"/>
      <c r="AK21" s="164"/>
      <c r="AL21" s="162"/>
      <c r="AM21" s="163"/>
      <c r="AN21" s="164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3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2" t="str">
        <f>Donnees!$C$30</f>
        <v>JdT</v>
      </c>
      <c r="C23" s="99">
        <v>12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162"/>
      <c r="AD23" s="163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163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162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162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162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162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162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162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162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162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162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x14ac:dyDescent="0.2">
      <c r="B24" s="153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47" t="s">
        <v>16</v>
      </c>
      <c r="C25" s="49">
        <f>SUM($C$3,$C$5,$C$7,$C$9,$C$11,$C$13,$C$15,$C$17,$C$19,$C$21,$C$23)</f>
        <v>302</v>
      </c>
      <c r="D25" s="102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4"/>
      <c r="CP25" s="102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4"/>
      <c r="GB25" s="102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4"/>
      <c r="JN25" s="102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4"/>
    </row>
    <row r="26" spans="2:36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5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7"/>
      <c r="CP26" s="105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7"/>
      <c r="GB26" s="105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  <c r="JC26" s="106"/>
      <c r="JD26" s="106"/>
      <c r="JE26" s="106"/>
      <c r="JF26" s="106"/>
      <c r="JG26" s="106"/>
      <c r="JH26" s="106"/>
      <c r="JI26" s="106"/>
      <c r="JJ26" s="106"/>
      <c r="JK26" s="106"/>
      <c r="JL26" s="106"/>
      <c r="JM26" s="107"/>
      <c r="JN26" s="105"/>
      <c r="JO26" s="106"/>
      <c r="JP26" s="106"/>
      <c r="JQ26" s="106"/>
      <c r="JR26" s="106"/>
      <c r="JS26" s="106"/>
      <c r="JT26" s="106"/>
      <c r="JU26" s="106"/>
      <c r="JV26" s="106"/>
      <c r="JW26" s="106"/>
      <c r="JX26" s="106"/>
      <c r="JY26" s="106"/>
      <c r="JZ26" s="106"/>
      <c r="KA26" s="106"/>
      <c r="KB26" s="106"/>
      <c r="KC26" s="106"/>
      <c r="KD26" s="106"/>
      <c r="KE26" s="106"/>
      <c r="KF26" s="106"/>
      <c r="KG26" s="106"/>
      <c r="KH26" s="106"/>
      <c r="KI26" s="106"/>
      <c r="KJ26" s="106"/>
      <c r="KK26" s="106"/>
      <c r="KL26" s="106"/>
      <c r="KM26" s="106"/>
      <c r="KN26" s="106"/>
      <c r="KO26" s="106"/>
      <c r="KP26" s="106"/>
      <c r="KQ26" s="106"/>
      <c r="KR26" s="106"/>
      <c r="KS26" s="106"/>
      <c r="KT26" s="106"/>
      <c r="KU26" s="106"/>
      <c r="KV26" s="106"/>
      <c r="KW26" s="106"/>
      <c r="KX26" s="106"/>
      <c r="KY26" s="106"/>
      <c r="KZ26" s="106"/>
      <c r="LA26" s="106"/>
      <c r="LB26" s="106"/>
      <c r="LC26" s="106"/>
      <c r="LD26" s="106"/>
      <c r="LE26" s="106"/>
      <c r="LF26" s="106"/>
      <c r="LG26" s="106"/>
      <c r="LH26" s="106"/>
      <c r="LI26" s="106"/>
      <c r="LJ26" s="106"/>
      <c r="LK26" s="106"/>
      <c r="LL26" s="106"/>
      <c r="LM26" s="106"/>
      <c r="LN26" s="106"/>
      <c r="LO26" s="106"/>
      <c r="LP26" s="106"/>
      <c r="LQ26" s="106"/>
      <c r="LR26" s="106"/>
      <c r="LS26" s="106"/>
      <c r="LT26" s="106"/>
      <c r="LU26" s="106"/>
      <c r="LV26" s="106"/>
      <c r="LW26" s="106"/>
      <c r="LX26" s="106"/>
      <c r="LY26" s="106"/>
      <c r="LZ26" s="106"/>
      <c r="MA26" s="106"/>
      <c r="MB26" s="106"/>
      <c r="MC26" s="106"/>
      <c r="MD26" s="106"/>
      <c r="ME26" s="106"/>
      <c r="MF26" s="106"/>
      <c r="MG26" s="106"/>
      <c r="MH26" s="106"/>
      <c r="MI26" s="106"/>
      <c r="MJ26" s="106"/>
      <c r="MK26" s="106"/>
      <c r="ML26" s="106"/>
      <c r="MM26" s="106"/>
      <c r="MN26" s="106"/>
      <c r="MO26" s="106"/>
      <c r="MP26" s="106"/>
      <c r="MQ26" s="106"/>
      <c r="MR26" s="106"/>
      <c r="MS26" s="106"/>
      <c r="MT26" s="106"/>
      <c r="MU26" s="106"/>
      <c r="MV26" s="106"/>
      <c r="MW26" s="106"/>
      <c r="MX26" s="106"/>
      <c r="MY26" s="107"/>
    </row>
  </sheetData>
  <sheetProtection sheet="1" objects="1" scenarios="1" insertRows="0" selectLockedCells="1"/>
  <mergeCells count="15"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B15:B16"/>
    <mergeCell ref="B17:B1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4" t="s">
        <v>21</v>
      </c>
      <c r="C3" s="30">
        <v>0</v>
      </c>
    </row>
    <row r="4" spans="1:4" ht="19.5" customHeight="1" x14ac:dyDescent="0.2">
      <c r="A4" s="34"/>
      <c r="B4" s="15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97"/>
  <sheetViews>
    <sheetView tabSelected="1" view="pageBreakPreview" topLeftCell="A4" zoomScale="60" zoomScaleNormal="100" workbookViewId="0">
      <selection activeCell="D93" sqref="D9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21.8554687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41.25" thickBot="1" x14ac:dyDescent="0.25">
      <c r="A2" s="74" t="s">
        <v>3</v>
      </c>
      <c r="B2" s="75" t="s">
        <v>15</v>
      </c>
      <c r="C2" s="75" t="s">
        <v>43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27" x14ac:dyDescent="0.2">
      <c r="A14" s="140" t="s">
        <v>35</v>
      </c>
      <c r="B14" s="6">
        <v>7</v>
      </c>
      <c r="C14" s="138"/>
      <c r="D14" s="14" t="s">
        <v>67</v>
      </c>
      <c r="E14" s="145"/>
    </row>
    <row r="15" spans="1:5" s="81" customFormat="1" ht="13.5" x14ac:dyDescent="0.2">
      <c r="A15" s="134" t="s">
        <v>34</v>
      </c>
      <c r="B15" s="115">
        <v>1</v>
      </c>
      <c r="C15" s="135"/>
      <c r="D15" s="116" t="s">
        <v>63</v>
      </c>
      <c r="E15" s="136"/>
    </row>
    <row r="16" spans="1:5" s="81" customFormat="1" ht="13.5" x14ac:dyDescent="0.2">
      <c r="A16" s="127" t="s">
        <v>36</v>
      </c>
      <c r="B16" s="112">
        <v>1</v>
      </c>
      <c r="C16" s="119"/>
      <c r="D16" s="113" t="s">
        <v>59</v>
      </c>
      <c r="E16" s="128"/>
    </row>
    <row r="17" spans="1:5" s="81" customFormat="1" ht="13.5" x14ac:dyDescent="0.2">
      <c r="A17" s="109"/>
      <c r="B17" s="110"/>
      <c r="C17" s="118" t="s">
        <v>51</v>
      </c>
      <c r="D17" s="111"/>
      <c r="E17" s="111"/>
    </row>
    <row r="18" spans="1:5" s="81" customFormat="1" ht="13.5" x14ac:dyDescent="0.2">
      <c r="A18" s="114" t="s">
        <v>30</v>
      </c>
      <c r="B18" s="115">
        <v>10</v>
      </c>
      <c r="C18" s="135"/>
      <c r="D18" s="116" t="s">
        <v>60</v>
      </c>
      <c r="E18" s="116"/>
    </row>
    <row r="19" spans="1:5" s="81" customFormat="1" ht="13.5" x14ac:dyDescent="0.2">
      <c r="A19" s="140" t="s">
        <v>31</v>
      </c>
      <c r="B19" s="6">
        <v>5</v>
      </c>
      <c r="C19" s="138"/>
      <c r="D19" s="14" t="s">
        <v>61</v>
      </c>
      <c r="E19" s="141"/>
    </row>
    <row r="20" spans="1:5" s="81" customFormat="1" ht="13.5" x14ac:dyDescent="0.2">
      <c r="A20" s="142" t="s">
        <v>29</v>
      </c>
      <c r="B20" s="79">
        <v>9</v>
      </c>
      <c r="C20" s="143"/>
      <c r="D20" s="80" t="s">
        <v>62</v>
      </c>
      <c r="E20" s="144"/>
    </row>
    <row r="21" spans="1:5" s="81" customFormat="1" ht="13.5" x14ac:dyDescent="0.2">
      <c r="A21" s="142" t="s">
        <v>34</v>
      </c>
      <c r="B21" s="79">
        <v>1</v>
      </c>
      <c r="C21" s="143"/>
      <c r="D21" s="80" t="s">
        <v>63</v>
      </c>
      <c r="E21" s="144"/>
    </row>
    <row r="22" spans="1:5" s="81" customFormat="1" ht="13.5" x14ac:dyDescent="0.2">
      <c r="A22" s="127" t="s">
        <v>36</v>
      </c>
      <c r="B22" s="112">
        <v>1</v>
      </c>
      <c r="C22" s="119"/>
      <c r="D22" s="113" t="s">
        <v>59</v>
      </c>
      <c r="E22" s="113"/>
    </row>
    <row r="23" spans="1:5" s="81" customFormat="1" ht="13.5" x14ac:dyDescent="0.2">
      <c r="A23" s="110"/>
      <c r="B23" s="110"/>
      <c r="C23" s="118" t="s">
        <v>52</v>
      </c>
      <c r="D23" s="111"/>
      <c r="E23" s="111"/>
    </row>
    <row r="24" spans="1:5" s="81" customFormat="1" ht="13.5" x14ac:dyDescent="0.2">
      <c r="A24" s="6" t="s">
        <v>30</v>
      </c>
      <c r="B24" s="6">
        <v>5</v>
      </c>
      <c r="C24" s="121"/>
      <c r="D24" s="14" t="s">
        <v>64</v>
      </c>
      <c r="E24" s="14"/>
    </row>
    <row r="25" spans="1:5" s="167" customFormat="1" ht="13.5" x14ac:dyDescent="0.2">
      <c r="A25" s="146" t="s">
        <v>29</v>
      </c>
      <c r="B25" s="79">
        <v>8</v>
      </c>
      <c r="C25" s="132"/>
      <c r="D25" s="80" t="s">
        <v>65</v>
      </c>
      <c r="E25" s="80"/>
    </row>
    <row r="26" spans="1:5" s="81" customFormat="1" ht="13.5" x14ac:dyDescent="0.2">
      <c r="A26" s="146" t="s">
        <v>29</v>
      </c>
      <c r="B26" s="79">
        <v>12</v>
      </c>
      <c r="C26" s="132"/>
      <c r="D26" s="80" t="s">
        <v>68</v>
      </c>
      <c r="E26" s="80"/>
    </row>
    <row r="27" spans="1:5" s="81" customFormat="1" ht="13.5" x14ac:dyDescent="0.2">
      <c r="A27" s="146" t="s">
        <v>34</v>
      </c>
      <c r="B27" s="79">
        <v>1</v>
      </c>
      <c r="C27" s="132"/>
      <c r="D27" s="80" t="s">
        <v>63</v>
      </c>
      <c r="E27" s="80"/>
    </row>
    <row r="28" spans="1:5" s="81" customFormat="1" ht="14.25" thickBot="1" x14ac:dyDescent="0.25">
      <c r="A28" s="127" t="s">
        <v>36</v>
      </c>
      <c r="B28" s="112">
        <v>1</v>
      </c>
      <c r="C28" s="119"/>
      <c r="D28" s="113" t="s">
        <v>59</v>
      </c>
      <c r="E28" s="15"/>
    </row>
    <row r="29" spans="1:5" ht="14.25" thickBot="1" x14ac:dyDescent="0.25">
      <c r="A29" s="76" t="s">
        <v>22</v>
      </c>
      <c r="B29" s="76">
        <f>SUM(B3:B28)</f>
        <v>92</v>
      </c>
      <c r="C29" s="166"/>
      <c r="D29" s="83" t="s">
        <v>37</v>
      </c>
      <c r="E29" s="77"/>
    </row>
    <row r="30" spans="1:5" ht="15" thickBot="1" x14ac:dyDescent="0.35">
      <c r="A30" s="78"/>
      <c r="B30" s="78"/>
      <c r="C30" s="78"/>
      <c r="D30" s="78"/>
      <c r="E30" s="78"/>
    </row>
    <row r="31" spans="1:5" ht="18.75" thickBot="1" x14ac:dyDescent="0.25">
      <c r="A31" s="71" t="s">
        <v>14</v>
      </c>
      <c r="B31" s="72">
        <v>2</v>
      </c>
      <c r="C31" s="72"/>
      <c r="D31" s="73" t="s">
        <v>23</v>
      </c>
      <c r="E31" s="82">
        <v>42891</v>
      </c>
    </row>
    <row r="32" spans="1:5" ht="27.75" thickBot="1" x14ac:dyDescent="0.25">
      <c r="A32" s="74" t="s">
        <v>3</v>
      </c>
      <c r="B32" s="75" t="s">
        <v>15</v>
      </c>
      <c r="C32" s="75" t="s">
        <v>43</v>
      </c>
      <c r="D32" s="74" t="s">
        <v>7</v>
      </c>
      <c r="E32" s="74" t="s">
        <v>13</v>
      </c>
    </row>
    <row r="33" spans="1:10" ht="13.5" x14ac:dyDescent="0.2">
      <c r="A33" s="9"/>
      <c r="B33" s="8"/>
      <c r="C33" s="117" t="s">
        <v>49</v>
      </c>
      <c r="D33" s="13"/>
      <c r="E33" s="13"/>
    </row>
    <row r="34" spans="1:10" ht="13.5" x14ac:dyDescent="0.2">
      <c r="A34" s="114"/>
      <c r="B34" s="115"/>
      <c r="C34" s="120"/>
      <c r="D34" s="116"/>
      <c r="E34" s="14"/>
    </row>
    <row r="35" spans="1:10" ht="13.5" x14ac:dyDescent="0.2">
      <c r="A35" s="5"/>
      <c r="B35" s="6"/>
      <c r="C35" s="121"/>
      <c r="D35" s="14"/>
      <c r="E35" s="14"/>
    </row>
    <row r="36" spans="1:10" ht="13.5" x14ac:dyDescent="0.2">
      <c r="A36" s="79"/>
      <c r="B36" s="79"/>
      <c r="C36" s="132"/>
      <c r="D36" s="80"/>
      <c r="E36" s="133"/>
    </row>
    <row r="37" spans="1:10" ht="13.5" x14ac:dyDescent="0.2">
      <c r="A37" s="110"/>
      <c r="B37" s="110"/>
      <c r="C37" s="131"/>
      <c r="D37" s="111"/>
      <c r="E37" s="130"/>
    </row>
    <row r="38" spans="1:10" ht="13.5" x14ac:dyDescent="0.2">
      <c r="A38" s="110"/>
      <c r="B38" s="110"/>
      <c r="C38" s="131"/>
      <c r="D38" s="111"/>
      <c r="E38" s="130"/>
    </row>
    <row r="39" spans="1:10" ht="12.75" customHeight="1" x14ac:dyDescent="0.2">
      <c r="A39" s="6"/>
      <c r="B39" s="6"/>
      <c r="C39" s="121"/>
      <c r="D39" s="14"/>
      <c r="E39" s="14"/>
      <c r="F39" s="37"/>
      <c r="G39" s="54"/>
      <c r="H39" s="55"/>
      <c r="I39" s="56"/>
      <c r="J39" s="37"/>
    </row>
    <row r="40" spans="1:10" ht="12.75" customHeight="1" x14ac:dyDescent="0.2">
      <c r="A40" s="79"/>
      <c r="B40" s="79"/>
      <c r="C40" s="121"/>
      <c r="D40" s="80"/>
      <c r="E40" s="80"/>
      <c r="F40" s="37"/>
      <c r="G40" s="54"/>
      <c r="H40" s="55"/>
      <c r="I40" s="56"/>
      <c r="J40" s="37"/>
    </row>
    <row r="41" spans="1:10" ht="12.75" customHeight="1" x14ac:dyDescent="0.2">
      <c r="A41" s="79"/>
      <c r="B41" s="79"/>
      <c r="C41" s="120"/>
      <c r="D41" s="80"/>
      <c r="E41" s="80"/>
      <c r="F41" s="37"/>
      <c r="G41" s="54"/>
      <c r="H41" s="55"/>
      <c r="I41" s="56"/>
      <c r="J41" s="37"/>
    </row>
    <row r="42" spans="1:10" ht="15" x14ac:dyDescent="0.2">
      <c r="A42" s="122"/>
      <c r="B42" s="123"/>
      <c r="C42" s="124" t="s">
        <v>50</v>
      </c>
      <c r="D42" s="125"/>
      <c r="E42" s="126"/>
      <c r="F42" s="37"/>
      <c r="G42" s="57"/>
      <c r="H42" s="53"/>
      <c r="I42" s="53"/>
      <c r="J42" s="37"/>
    </row>
    <row r="43" spans="1:10" ht="15" x14ac:dyDescent="0.2">
      <c r="A43" s="137"/>
      <c r="B43" s="6"/>
      <c r="C43" s="138"/>
      <c r="D43" s="14"/>
      <c r="E43" s="129"/>
      <c r="F43" s="37"/>
      <c r="G43" s="57"/>
      <c r="H43" s="53"/>
      <c r="I43" s="53"/>
      <c r="J43" s="37"/>
    </row>
    <row r="44" spans="1:10" ht="15" x14ac:dyDescent="0.2">
      <c r="A44" s="140"/>
      <c r="B44" s="6"/>
      <c r="C44" s="138"/>
      <c r="D44" s="14"/>
      <c r="E44" s="145"/>
      <c r="F44" s="37"/>
      <c r="G44" s="57"/>
      <c r="H44" s="53"/>
      <c r="I44" s="53"/>
      <c r="J44" s="37"/>
    </row>
    <row r="45" spans="1:10" ht="15" x14ac:dyDescent="0.2">
      <c r="A45" s="134"/>
      <c r="B45" s="115"/>
      <c r="C45" s="135"/>
      <c r="D45" s="116"/>
      <c r="E45" s="136"/>
      <c r="F45" s="37"/>
      <c r="G45" s="57"/>
      <c r="H45" s="53"/>
      <c r="I45" s="53"/>
      <c r="J45" s="37"/>
    </row>
    <row r="46" spans="1:10" ht="15" x14ac:dyDescent="0.2">
      <c r="A46" s="127"/>
      <c r="B46" s="112"/>
      <c r="C46" s="119"/>
      <c r="D46" s="113"/>
      <c r="E46" s="128"/>
      <c r="F46" s="37"/>
      <c r="G46" s="57"/>
      <c r="H46" s="53"/>
      <c r="I46" s="53"/>
      <c r="J46" s="37"/>
    </row>
    <row r="47" spans="1:10" ht="15" x14ac:dyDescent="0.2">
      <c r="A47" s="109"/>
      <c r="B47" s="110"/>
      <c r="C47" s="118" t="s">
        <v>51</v>
      </c>
      <c r="D47" s="111"/>
      <c r="E47" s="111"/>
      <c r="F47" s="37"/>
      <c r="G47" s="57"/>
      <c r="H47" s="53"/>
      <c r="I47" s="53"/>
      <c r="J47" s="37"/>
    </row>
    <row r="48" spans="1:10" ht="13.5" x14ac:dyDescent="0.2">
      <c r="A48" s="114"/>
      <c r="B48" s="115"/>
      <c r="C48" s="135"/>
      <c r="D48" s="116"/>
      <c r="E48" s="116"/>
      <c r="F48" s="37"/>
      <c r="G48" s="59"/>
      <c r="H48" s="60"/>
      <c r="I48" s="60"/>
      <c r="J48" s="37"/>
    </row>
    <row r="49" spans="1:10" ht="13.5" x14ac:dyDescent="0.2">
      <c r="A49" s="140"/>
      <c r="B49" s="6"/>
      <c r="C49" s="138"/>
      <c r="D49" s="14"/>
      <c r="E49" s="141"/>
      <c r="F49" s="37"/>
      <c r="G49" s="59"/>
      <c r="H49" s="60"/>
      <c r="I49" s="60"/>
      <c r="J49" s="37"/>
    </row>
    <row r="50" spans="1:10" ht="13.5" x14ac:dyDescent="0.2">
      <c r="A50" s="142"/>
      <c r="B50" s="79"/>
      <c r="C50" s="143"/>
      <c r="D50" s="80"/>
      <c r="E50" s="144"/>
      <c r="F50" s="37"/>
      <c r="G50" s="59"/>
      <c r="H50" s="60"/>
      <c r="I50" s="60"/>
      <c r="J50" s="37"/>
    </row>
    <row r="51" spans="1:10" ht="13.5" x14ac:dyDescent="0.2">
      <c r="A51" s="142"/>
      <c r="B51" s="79"/>
      <c r="C51" s="143"/>
      <c r="D51" s="80"/>
      <c r="E51" s="144"/>
      <c r="F51" s="37"/>
      <c r="G51" s="59"/>
      <c r="H51" s="60"/>
      <c r="I51" s="60"/>
      <c r="J51" s="37"/>
    </row>
    <row r="52" spans="1:10" ht="13.5" x14ac:dyDescent="0.2">
      <c r="A52" s="127"/>
      <c r="B52" s="112"/>
      <c r="C52" s="119"/>
      <c r="D52" s="113"/>
      <c r="E52" s="113"/>
      <c r="F52" s="37"/>
      <c r="G52" s="59"/>
      <c r="H52" s="60"/>
      <c r="I52" s="60"/>
      <c r="J52" s="37"/>
    </row>
    <row r="53" spans="1:10" ht="13.5" x14ac:dyDescent="0.2">
      <c r="A53" s="110"/>
      <c r="B53" s="110"/>
      <c r="C53" s="118" t="s">
        <v>52</v>
      </c>
      <c r="D53" s="111"/>
      <c r="E53" s="111"/>
      <c r="F53" s="37"/>
      <c r="G53" s="59"/>
      <c r="H53" s="60"/>
      <c r="I53" s="60"/>
      <c r="J53" s="37"/>
    </row>
    <row r="54" spans="1:10" ht="13.5" x14ac:dyDescent="0.2">
      <c r="A54" s="6"/>
      <c r="B54" s="6"/>
      <c r="C54" s="121"/>
      <c r="D54" s="14"/>
      <c r="E54" s="14"/>
      <c r="F54" s="37"/>
      <c r="G54" s="59"/>
      <c r="H54" s="60"/>
      <c r="I54" s="60"/>
      <c r="J54" s="37"/>
    </row>
    <row r="55" spans="1:10" ht="13.5" x14ac:dyDescent="0.2">
      <c r="A55" s="146"/>
      <c r="B55" s="79"/>
      <c r="C55" s="132"/>
      <c r="D55" s="80"/>
      <c r="E55" s="80"/>
      <c r="F55" s="37"/>
      <c r="G55" s="59"/>
      <c r="H55" s="60"/>
      <c r="I55" s="60"/>
      <c r="J55" s="37"/>
    </row>
    <row r="56" spans="1:10" ht="13.5" x14ac:dyDescent="0.2">
      <c r="A56" s="146"/>
      <c r="B56" s="79"/>
      <c r="C56" s="132"/>
      <c r="D56" s="80"/>
      <c r="E56" s="80"/>
      <c r="F56" s="37"/>
      <c r="G56" s="59"/>
      <c r="H56" s="60"/>
      <c r="I56" s="60"/>
      <c r="J56" s="37"/>
    </row>
    <row r="57" spans="1:10" ht="13.5" x14ac:dyDescent="0.2">
      <c r="A57" s="146"/>
      <c r="B57" s="79"/>
      <c r="C57" s="132"/>
      <c r="D57" s="80"/>
      <c r="E57" s="80"/>
      <c r="F57" s="37"/>
      <c r="G57" s="59"/>
      <c r="H57" s="60"/>
      <c r="I57" s="60"/>
      <c r="J57" s="37"/>
    </row>
    <row r="58" spans="1:10" ht="14.25" thickBot="1" x14ac:dyDescent="0.25">
      <c r="A58" s="127"/>
      <c r="B58" s="112"/>
      <c r="C58" s="119"/>
      <c r="D58" s="113"/>
      <c r="E58" s="15"/>
      <c r="F58" s="37"/>
      <c r="G58" s="61"/>
      <c r="H58" s="62"/>
      <c r="I58" s="62"/>
      <c r="J58" s="37"/>
    </row>
    <row r="59" spans="1:10" ht="14.25" thickBot="1" x14ac:dyDescent="0.25">
      <c r="A59" s="76" t="s">
        <v>22</v>
      </c>
      <c r="B59" s="76">
        <f>SUM(B33:B58)</f>
        <v>0</v>
      </c>
      <c r="C59" s="166"/>
      <c r="D59" s="83" t="s">
        <v>37</v>
      </c>
      <c r="E59" s="77"/>
      <c r="F59" s="37"/>
      <c r="G59" s="37"/>
      <c r="H59" s="37"/>
      <c r="I59" s="37"/>
      <c r="J59" s="37"/>
    </row>
    <row r="60" spans="1:10" ht="15" thickBot="1" x14ac:dyDescent="0.35">
      <c r="A60" s="78"/>
      <c r="B60" s="78"/>
      <c r="C60" s="78"/>
      <c r="D60" s="78"/>
      <c r="E60" s="78"/>
      <c r="F60" s="37"/>
      <c r="G60" s="37"/>
      <c r="H60" s="37"/>
      <c r="I60" s="37"/>
      <c r="J60" s="37"/>
    </row>
    <row r="61" spans="1:10" ht="18.75" thickBot="1" x14ac:dyDescent="0.25">
      <c r="A61" s="71" t="s">
        <v>14</v>
      </c>
      <c r="B61" s="72">
        <v>3</v>
      </c>
      <c r="C61" s="72"/>
      <c r="D61" s="73" t="s">
        <v>23</v>
      </c>
      <c r="E61" s="82">
        <v>42898</v>
      </c>
      <c r="F61" s="37"/>
      <c r="G61" s="37"/>
      <c r="H61" s="37"/>
      <c r="I61" s="37"/>
      <c r="J61" s="37"/>
    </row>
    <row r="62" spans="1:10" ht="27.75" thickBot="1" x14ac:dyDescent="0.25">
      <c r="A62" s="74" t="s">
        <v>3</v>
      </c>
      <c r="B62" s="75" t="s">
        <v>15</v>
      </c>
      <c r="C62" s="75" t="s">
        <v>43</v>
      </c>
      <c r="D62" s="74" t="s">
        <v>7</v>
      </c>
      <c r="E62" s="74" t="s">
        <v>13</v>
      </c>
    </row>
    <row r="63" spans="1:10" ht="13.5" x14ac:dyDescent="0.2">
      <c r="A63" s="9"/>
      <c r="B63" s="8"/>
      <c r="C63" s="117" t="s">
        <v>49</v>
      </c>
      <c r="D63" s="13"/>
      <c r="E63" s="13"/>
    </row>
    <row r="64" spans="1:10" ht="13.5" x14ac:dyDescent="0.2">
      <c r="A64" s="114"/>
      <c r="B64" s="115"/>
      <c r="C64" s="120"/>
      <c r="D64" s="116"/>
      <c r="E64" s="14"/>
    </row>
    <row r="65" spans="1:5" ht="13.5" x14ac:dyDescent="0.2">
      <c r="A65" s="5"/>
      <c r="B65" s="6"/>
      <c r="C65" s="121"/>
      <c r="D65" s="14"/>
      <c r="E65" s="14"/>
    </row>
    <row r="66" spans="1:5" ht="13.5" x14ac:dyDescent="0.2">
      <c r="A66" s="79"/>
      <c r="B66" s="79"/>
      <c r="C66" s="132"/>
      <c r="D66" s="80"/>
      <c r="E66" s="133"/>
    </row>
    <row r="67" spans="1:5" ht="13.5" x14ac:dyDescent="0.2">
      <c r="A67" s="110"/>
      <c r="B67" s="110"/>
      <c r="C67" s="131"/>
      <c r="D67" s="111"/>
      <c r="E67" s="130"/>
    </row>
    <row r="68" spans="1:5" ht="13.5" x14ac:dyDescent="0.2">
      <c r="A68" s="110"/>
      <c r="B68" s="110"/>
      <c r="C68" s="131"/>
      <c r="D68" s="111"/>
      <c r="E68" s="130"/>
    </row>
    <row r="69" spans="1:5" ht="13.5" x14ac:dyDescent="0.2">
      <c r="A69" s="6"/>
      <c r="B69" s="6"/>
      <c r="C69" s="121"/>
      <c r="D69" s="14"/>
      <c r="E69" s="14"/>
    </row>
    <row r="70" spans="1:5" ht="13.5" x14ac:dyDescent="0.2">
      <c r="A70" s="79"/>
      <c r="B70" s="79"/>
      <c r="C70" s="121"/>
      <c r="D70" s="80"/>
      <c r="E70" s="80"/>
    </row>
    <row r="71" spans="1:5" ht="13.5" x14ac:dyDescent="0.2">
      <c r="A71" s="79"/>
      <c r="B71" s="79"/>
      <c r="C71" s="120"/>
      <c r="D71" s="80"/>
      <c r="E71" s="80"/>
    </row>
    <row r="72" spans="1:5" ht="13.5" x14ac:dyDescent="0.2">
      <c r="A72" s="122"/>
      <c r="B72" s="123"/>
      <c r="C72" s="124" t="s">
        <v>50</v>
      </c>
      <c r="D72" s="125"/>
      <c r="E72" s="126"/>
    </row>
    <row r="73" spans="1:5" ht="13.5" x14ac:dyDescent="0.2">
      <c r="A73" s="137"/>
      <c r="B73" s="6"/>
      <c r="C73" s="138"/>
      <c r="D73" s="14"/>
      <c r="E73" s="129"/>
    </row>
    <row r="74" spans="1:5" ht="13.5" x14ac:dyDescent="0.2">
      <c r="A74" s="140"/>
      <c r="B74" s="6"/>
      <c r="C74" s="138"/>
      <c r="D74" s="14"/>
      <c r="E74" s="145"/>
    </row>
    <row r="75" spans="1:5" ht="13.5" x14ac:dyDescent="0.2">
      <c r="A75" s="134"/>
      <c r="B75" s="115"/>
      <c r="C75" s="135"/>
      <c r="D75" s="116"/>
      <c r="E75" s="136"/>
    </row>
    <row r="76" spans="1:5" ht="13.5" x14ac:dyDescent="0.2">
      <c r="A76" s="127"/>
      <c r="B76" s="112"/>
      <c r="C76" s="119"/>
      <c r="D76" s="113"/>
      <c r="E76" s="128"/>
    </row>
    <row r="77" spans="1:5" ht="13.5" x14ac:dyDescent="0.2">
      <c r="A77" s="109"/>
      <c r="B77" s="110"/>
      <c r="C77" s="118" t="s">
        <v>51</v>
      </c>
      <c r="D77" s="111"/>
      <c r="E77" s="111"/>
    </row>
    <row r="78" spans="1:5" ht="13.5" x14ac:dyDescent="0.2">
      <c r="A78" s="114"/>
      <c r="B78" s="115"/>
      <c r="C78" s="135"/>
      <c r="D78" s="116"/>
      <c r="E78" s="116"/>
    </row>
    <row r="79" spans="1:5" ht="13.5" x14ac:dyDescent="0.2">
      <c r="A79" s="140"/>
      <c r="B79" s="6"/>
      <c r="C79" s="138"/>
      <c r="D79" s="14"/>
      <c r="E79" s="141"/>
    </row>
    <row r="80" spans="1:5" ht="13.5" x14ac:dyDescent="0.2">
      <c r="A80" s="142"/>
      <c r="B80" s="79"/>
      <c r="C80" s="143"/>
      <c r="D80" s="80"/>
      <c r="E80" s="144"/>
    </row>
    <row r="81" spans="1:5" ht="13.5" x14ac:dyDescent="0.2">
      <c r="A81" s="142"/>
      <c r="B81" s="79"/>
      <c r="C81" s="143"/>
      <c r="D81" s="80"/>
      <c r="E81" s="144"/>
    </row>
    <row r="82" spans="1:5" ht="13.5" x14ac:dyDescent="0.2">
      <c r="A82" s="127"/>
      <c r="B82" s="112"/>
      <c r="C82" s="119"/>
      <c r="D82" s="113"/>
      <c r="E82" s="113"/>
    </row>
    <row r="83" spans="1:5" ht="13.5" x14ac:dyDescent="0.2">
      <c r="A83" s="110"/>
      <c r="B83" s="110"/>
      <c r="C83" s="118" t="s">
        <v>52</v>
      </c>
      <c r="D83" s="111"/>
      <c r="E83" s="111"/>
    </row>
    <row r="84" spans="1:5" ht="13.5" x14ac:dyDescent="0.2">
      <c r="A84" s="6"/>
      <c r="B84" s="6"/>
      <c r="C84" s="121"/>
      <c r="D84" s="14"/>
      <c r="E84" s="14"/>
    </row>
    <row r="85" spans="1:5" ht="13.5" x14ac:dyDescent="0.2">
      <c r="A85" s="146"/>
      <c r="B85" s="79"/>
      <c r="C85" s="132"/>
      <c r="D85" s="80"/>
      <c r="E85" s="80"/>
    </row>
    <row r="86" spans="1:5" ht="13.5" x14ac:dyDescent="0.2">
      <c r="A86" s="146"/>
      <c r="B86" s="79"/>
      <c r="C86" s="132"/>
      <c r="D86" s="80"/>
      <c r="E86" s="80"/>
    </row>
    <row r="87" spans="1:5" ht="13.5" x14ac:dyDescent="0.2">
      <c r="A87" s="146"/>
      <c r="B87" s="79"/>
      <c r="C87" s="132"/>
      <c r="D87" s="80"/>
      <c r="E87" s="80"/>
    </row>
    <row r="88" spans="1:5" ht="14.25" thickBot="1" x14ac:dyDescent="0.25">
      <c r="A88" s="127"/>
      <c r="B88" s="112"/>
      <c r="C88" s="119"/>
      <c r="D88" s="113"/>
      <c r="E88" s="15"/>
    </row>
    <row r="89" spans="1:5" ht="14.25" thickBot="1" x14ac:dyDescent="0.25">
      <c r="A89" s="76" t="s">
        <v>22</v>
      </c>
      <c r="B89" s="76">
        <f>SUM(B63:B88)</f>
        <v>0</v>
      </c>
      <c r="C89" s="166"/>
      <c r="D89" s="83" t="s">
        <v>37</v>
      </c>
      <c r="E89" s="77"/>
    </row>
    <row r="90" spans="1:5" ht="15" thickBot="1" x14ac:dyDescent="0.35">
      <c r="A90" s="78"/>
      <c r="B90" s="78"/>
      <c r="C90" s="78"/>
      <c r="D90" s="78"/>
      <c r="E90" s="78"/>
    </row>
    <row r="91" spans="1:5" ht="18.75" thickBot="1" x14ac:dyDescent="0.25">
      <c r="A91" s="71" t="s">
        <v>14</v>
      </c>
      <c r="B91" s="72">
        <v>4</v>
      </c>
      <c r="C91" s="72"/>
      <c r="D91" s="73" t="s">
        <v>23</v>
      </c>
      <c r="E91" s="82">
        <v>42905</v>
      </c>
    </row>
    <row r="92" spans="1:5" ht="27.75" thickBot="1" x14ac:dyDescent="0.25">
      <c r="A92" s="74" t="s">
        <v>3</v>
      </c>
      <c r="B92" s="75" t="s">
        <v>15</v>
      </c>
      <c r="C92" s="75" t="s">
        <v>43</v>
      </c>
      <c r="D92" s="74" t="s">
        <v>7</v>
      </c>
      <c r="E92" s="74" t="s">
        <v>13</v>
      </c>
    </row>
    <row r="93" spans="1:5" ht="13.5" x14ac:dyDescent="0.2">
      <c r="A93" s="9"/>
      <c r="B93" s="8"/>
      <c r="C93" s="117" t="s">
        <v>49</v>
      </c>
      <c r="D93" s="13"/>
      <c r="E93" s="13"/>
    </row>
    <row r="94" spans="1:5" ht="14.25" thickBot="1" x14ac:dyDescent="0.25">
      <c r="A94" s="5" t="s">
        <v>21</v>
      </c>
      <c r="B94" s="6">
        <v>24</v>
      </c>
      <c r="C94" s="119"/>
      <c r="D94" s="14" t="s">
        <v>58</v>
      </c>
      <c r="E94" s="14"/>
    </row>
    <row r="95" spans="1:5" ht="14.25" thickBot="1" x14ac:dyDescent="0.25">
      <c r="A95" s="76" t="s">
        <v>22</v>
      </c>
      <c r="B95" s="76">
        <f>SUM(B93:B94)</f>
        <v>24</v>
      </c>
      <c r="C95" s="166"/>
      <c r="D95" s="83" t="s">
        <v>37</v>
      </c>
      <c r="E95" s="77"/>
    </row>
    <row r="96" spans="1:5" ht="14.25" x14ac:dyDescent="0.3">
      <c r="A96" s="78"/>
      <c r="B96" s="78"/>
      <c r="C96" s="78"/>
      <c r="D96" s="78"/>
      <c r="E96" s="78"/>
    </row>
    <row r="97" spans="1:1" x14ac:dyDescent="0.2">
      <c r="A9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48:G57 B33:C58 B63:C88 B3:C28 B93:C9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:C29 B59:C59 B89:C89 B95:C95">
      <formula1>0</formula1>
      <formula2>NbPerWeek * NbQuartPer</formula2>
    </dataValidation>
    <dataValidation type="list" allowBlank="1" showInputMessage="1" showErrorMessage="1" sqref="A33:A58 A63:A88 A3:A28 A93:A94">
      <formula1>lstTasks</formula1>
    </dataValidation>
  </dataValidations>
  <hyperlinks>
    <hyperlink ref="E6" r:id="rId1"/>
    <hyperlink ref="E7" r:id="rId2"/>
    <hyperlink ref="E8" r:id="rId3"/>
    <hyperlink ref="E13" r:id="rId4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57150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89"/>
  <sheetViews>
    <sheetView view="pageBreakPreview" topLeftCell="A39" zoomScale="70" zoomScaleNormal="100" zoomScaleSheetLayoutView="70" workbookViewId="0">
      <selection activeCell="A86" sqref="A86:E8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bestFit="1" customWidth="1"/>
    <col min="3" max="3" width="19.570312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43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27" x14ac:dyDescent="0.2">
      <c r="A14" s="140" t="s">
        <v>35</v>
      </c>
      <c r="B14" s="6">
        <v>7</v>
      </c>
      <c r="C14" s="138"/>
      <c r="D14" s="14" t="s">
        <v>67</v>
      </c>
      <c r="E14" s="145"/>
    </row>
    <row r="15" spans="1:5" s="81" customFormat="1" ht="13.5" x14ac:dyDescent="0.2">
      <c r="A15" s="134" t="s">
        <v>34</v>
      </c>
      <c r="B15" s="115">
        <v>1</v>
      </c>
      <c r="C15" s="135"/>
      <c r="D15" s="116" t="s">
        <v>63</v>
      </c>
      <c r="E15" s="136"/>
    </row>
    <row r="16" spans="1:5" s="81" customFormat="1" ht="13.5" x14ac:dyDescent="0.2">
      <c r="A16" s="127" t="s">
        <v>36</v>
      </c>
      <c r="B16" s="112">
        <v>1</v>
      </c>
      <c r="C16" s="119"/>
      <c r="D16" s="113" t="s">
        <v>59</v>
      </c>
      <c r="E16" s="128"/>
    </row>
    <row r="17" spans="1:5" s="81" customFormat="1" ht="13.5" x14ac:dyDescent="0.2">
      <c r="A17" s="109"/>
      <c r="B17" s="110"/>
      <c r="C17" s="118" t="s">
        <v>51</v>
      </c>
      <c r="D17" s="111"/>
      <c r="E17" s="111"/>
    </row>
    <row r="18" spans="1:5" s="81" customFormat="1" ht="13.5" x14ac:dyDescent="0.2">
      <c r="A18" s="114" t="s">
        <v>30</v>
      </c>
      <c r="B18" s="115">
        <v>10</v>
      </c>
      <c r="C18" s="135"/>
      <c r="D18" s="116" t="s">
        <v>60</v>
      </c>
      <c r="E18" s="116"/>
    </row>
    <row r="19" spans="1:5" s="81" customFormat="1" ht="13.5" x14ac:dyDescent="0.2">
      <c r="A19" s="140" t="s">
        <v>31</v>
      </c>
      <c r="B19" s="6">
        <v>5</v>
      </c>
      <c r="C19" s="138"/>
      <c r="D19" s="14" t="s">
        <v>61</v>
      </c>
      <c r="E19" s="141"/>
    </row>
    <row r="20" spans="1:5" s="81" customFormat="1" ht="13.5" x14ac:dyDescent="0.2">
      <c r="A20" s="142" t="s">
        <v>29</v>
      </c>
      <c r="B20" s="79">
        <v>9</v>
      </c>
      <c r="C20" s="143"/>
      <c r="D20" s="80" t="s">
        <v>62</v>
      </c>
      <c r="E20" s="144"/>
    </row>
    <row r="21" spans="1:5" s="81" customFormat="1" ht="13.5" x14ac:dyDescent="0.2">
      <c r="A21" s="142" t="s">
        <v>34</v>
      </c>
      <c r="B21" s="79">
        <v>1</v>
      </c>
      <c r="C21" s="143"/>
      <c r="D21" s="80" t="s">
        <v>63</v>
      </c>
      <c r="E21" s="144"/>
    </row>
    <row r="22" spans="1:5" s="81" customFormat="1" ht="13.5" x14ac:dyDescent="0.2">
      <c r="A22" s="127" t="s">
        <v>36</v>
      </c>
      <c r="B22" s="112">
        <v>1</v>
      </c>
      <c r="C22" s="119"/>
      <c r="D22" s="113" t="s">
        <v>59</v>
      </c>
      <c r="E22" s="113"/>
    </row>
    <row r="23" spans="1:5" s="81" customFormat="1" ht="13.5" x14ac:dyDescent="0.2">
      <c r="A23" s="110"/>
      <c r="B23" s="110"/>
      <c r="C23" s="118" t="s">
        <v>52</v>
      </c>
      <c r="D23" s="111"/>
      <c r="E23" s="111"/>
    </row>
    <row r="24" spans="1:5" s="81" customFormat="1" ht="13.5" x14ac:dyDescent="0.2">
      <c r="A24" s="6" t="s">
        <v>30</v>
      </c>
      <c r="B24" s="6">
        <v>5</v>
      </c>
      <c r="C24" s="121"/>
      <c r="D24" s="14" t="s">
        <v>64</v>
      </c>
      <c r="E24" s="14"/>
    </row>
    <row r="25" spans="1:5" s="81" customFormat="1" ht="13.5" x14ac:dyDescent="0.2">
      <c r="A25" s="146" t="s">
        <v>29</v>
      </c>
      <c r="B25" s="79">
        <v>8</v>
      </c>
      <c r="C25" s="132"/>
      <c r="D25" s="80" t="s">
        <v>65</v>
      </c>
      <c r="E25" s="80"/>
    </row>
    <row r="26" spans="1:5" s="81" customFormat="1" ht="13.5" x14ac:dyDescent="0.2">
      <c r="A26" s="146" t="s">
        <v>29</v>
      </c>
      <c r="B26" s="79">
        <v>12</v>
      </c>
      <c r="C26" s="132"/>
      <c r="D26" s="80" t="s">
        <v>68</v>
      </c>
      <c r="E26" s="80"/>
    </row>
    <row r="27" spans="1:5" s="81" customFormat="1" ht="13.5" x14ac:dyDescent="0.2">
      <c r="A27" s="146" t="s">
        <v>34</v>
      </c>
      <c r="B27" s="79">
        <v>1</v>
      </c>
      <c r="C27" s="132"/>
      <c r="D27" s="80" t="s">
        <v>63</v>
      </c>
      <c r="E27" s="80"/>
    </row>
    <row r="28" spans="1:5" s="81" customFormat="1" ht="14.25" thickBot="1" x14ac:dyDescent="0.25">
      <c r="A28" s="127" t="s">
        <v>36</v>
      </c>
      <c r="B28" s="112">
        <v>1</v>
      </c>
      <c r="C28" s="119"/>
      <c r="D28" s="113" t="s">
        <v>59</v>
      </c>
      <c r="E28" s="15"/>
    </row>
    <row r="29" spans="1:5" ht="14.25" thickBot="1" x14ac:dyDescent="0.25">
      <c r="A29" s="16" t="s">
        <v>22</v>
      </c>
      <c r="B29" s="16">
        <f>SUM(B3:B28)</f>
        <v>92</v>
      </c>
      <c r="C29" s="108"/>
      <c r="D29" s="85" t="s">
        <v>37</v>
      </c>
      <c r="E29" s="17"/>
    </row>
    <row r="30" spans="1:5" ht="15" thickBot="1" x14ac:dyDescent="0.35">
      <c r="A30" s="18"/>
      <c r="B30" s="18"/>
      <c r="C30" s="18"/>
      <c r="D30" s="18"/>
      <c r="E30" s="18"/>
    </row>
    <row r="31" spans="1:5" ht="18.75" thickBot="1" x14ac:dyDescent="0.25">
      <c r="A31" s="10" t="s">
        <v>14</v>
      </c>
      <c r="B31" s="11">
        <v>2</v>
      </c>
      <c r="C31" s="11"/>
      <c r="D31" s="31"/>
      <c r="E31" s="33"/>
    </row>
    <row r="32" spans="1:5" ht="27.75" thickBot="1" x14ac:dyDescent="0.25">
      <c r="A32" s="12" t="s">
        <v>3</v>
      </c>
      <c r="B32" s="32" t="s">
        <v>15</v>
      </c>
      <c r="C32" s="32" t="s">
        <v>43</v>
      </c>
      <c r="D32" s="12" t="s">
        <v>7</v>
      </c>
      <c r="E32" s="12" t="s">
        <v>13</v>
      </c>
    </row>
    <row r="33" spans="1:10" ht="13.5" x14ac:dyDescent="0.2">
      <c r="A33" s="9"/>
      <c r="B33" s="8"/>
      <c r="C33" s="117" t="s">
        <v>49</v>
      </c>
      <c r="D33" s="13"/>
      <c r="E33" s="13"/>
    </row>
    <row r="34" spans="1:10" ht="13.5" x14ac:dyDescent="0.2">
      <c r="A34" s="5" t="s">
        <v>21</v>
      </c>
      <c r="B34" s="6">
        <v>27</v>
      </c>
      <c r="C34" s="121"/>
      <c r="D34" s="14" t="s">
        <v>69</v>
      </c>
      <c r="E34" s="14"/>
    </row>
    <row r="35" spans="1:10" ht="12.75" customHeight="1" x14ac:dyDescent="0.2">
      <c r="A35" s="109"/>
      <c r="B35" s="110"/>
      <c r="C35" s="124" t="s">
        <v>50</v>
      </c>
      <c r="D35" s="111"/>
      <c r="E35" s="111"/>
      <c r="F35" s="37"/>
      <c r="G35" s="54"/>
      <c r="H35" s="55"/>
      <c r="I35" s="56"/>
      <c r="J35" s="37"/>
    </row>
    <row r="36" spans="1:10" ht="15" x14ac:dyDescent="0.2">
      <c r="A36" s="5" t="s">
        <v>31</v>
      </c>
      <c r="B36" s="6">
        <v>6</v>
      </c>
      <c r="C36" s="138"/>
      <c r="D36" s="14" t="s">
        <v>66</v>
      </c>
      <c r="E36" s="14"/>
      <c r="F36" s="37"/>
      <c r="G36" s="57"/>
      <c r="H36" s="53"/>
      <c r="I36" s="53"/>
      <c r="J36" s="37"/>
    </row>
    <row r="37" spans="1:10" ht="15" x14ac:dyDescent="0.2">
      <c r="A37" s="158" t="s">
        <v>29</v>
      </c>
      <c r="B37" s="115">
        <v>4</v>
      </c>
      <c r="C37" s="135"/>
      <c r="D37" s="116" t="s">
        <v>70</v>
      </c>
      <c r="E37" s="116"/>
      <c r="F37" s="37"/>
      <c r="G37" s="57"/>
      <c r="H37" s="53"/>
      <c r="I37" s="53"/>
      <c r="J37" s="37"/>
    </row>
    <row r="38" spans="1:10" ht="15" x14ac:dyDescent="0.2">
      <c r="A38" s="146" t="s">
        <v>34</v>
      </c>
      <c r="B38" s="79">
        <v>1</v>
      </c>
      <c r="C38" s="132"/>
      <c r="D38" s="80" t="s">
        <v>63</v>
      </c>
      <c r="E38" s="80"/>
      <c r="F38" s="37"/>
      <c r="G38" s="57"/>
      <c r="H38" s="53"/>
      <c r="I38" s="53"/>
      <c r="J38" s="37"/>
    </row>
    <row r="39" spans="1:10" ht="13.5" x14ac:dyDescent="0.2">
      <c r="A39" s="127" t="s">
        <v>36</v>
      </c>
      <c r="B39" s="112">
        <v>1</v>
      </c>
      <c r="C39" s="119"/>
      <c r="D39" s="113" t="s">
        <v>59</v>
      </c>
      <c r="E39" s="113"/>
      <c r="F39" s="37"/>
      <c r="G39" s="59"/>
      <c r="H39" s="60"/>
      <c r="I39" s="60"/>
      <c r="J39" s="37"/>
    </row>
    <row r="40" spans="1:10" ht="13.5" x14ac:dyDescent="0.2">
      <c r="A40" s="109"/>
      <c r="B40" s="110"/>
      <c r="C40" s="118" t="s">
        <v>51</v>
      </c>
      <c r="D40" s="111"/>
      <c r="E40" s="111"/>
      <c r="F40" s="37"/>
      <c r="G40" s="59"/>
      <c r="H40" s="60"/>
      <c r="I40" s="60"/>
      <c r="J40" s="37"/>
    </row>
    <row r="41" spans="1:10" ht="13.5" x14ac:dyDescent="0.2">
      <c r="A41" s="140" t="s">
        <v>28</v>
      </c>
      <c r="B41" s="6">
        <v>4</v>
      </c>
      <c r="C41" s="138"/>
      <c r="D41" s="14" t="s">
        <v>71</v>
      </c>
      <c r="E41" s="141"/>
      <c r="F41" s="37"/>
      <c r="G41" s="59"/>
      <c r="H41" s="60"/>
      <c r="I41" s="60"/>
      <c r="J41" s="37"/>
    </row>
    <row r="42" spans="1:10" ht="13.5" x14ac:dyDescent="0.2">
      <c r="A42" s="159" t="s">
        <v>29</v>
      </c>
      <c r="B42" s="6">
        <v>12</v>
      </c>
      <c r="C42" s="138"/>
      <c r="D42" s="14" t="s">
        <v>70</v>
      </c>
      <c r="E42" s="14"/>
      <c r="F42" s="37"/>
      <c r="G42" s="59"/>
      <c r="H42" s="60"/>
      <c r="I42" s="60"/>
      <c r="J42" s="37"/>
    </row>
    <row r="43" spans="1:10" ht="13.5" x14ac:dyDescent="0.2">
      <c r="A43" s="139" t="s">
        <v>31</v>
      </c>
      <c r="B43" s="115">
        <v>9</v>
      </c>
      <c r="C43" s="135"/>
      <c r="D43" s="116" t="s">
        <v>72</v>
      </c>
      <c r="E43" s="116"/>
      <c r="F43" s="37"/>
      <c r="G43" s="59"/>
      <c r="H43" s="60"/>
      <c r="I43" s="60"/>
      <c r="J43" s="37"/>
    </row>
    <row r="44" spans="1:10" ht="13.5" x14ac:dyDescent="0.2">
      <c r="A44" s="146" t="s">
        <v>34</v>
      </c>
      <c r="B44" s="79">
        <v>1</v>
      </c>
      <c r="C44" s="132"/>
      <c r="D44" s="80" t="s">
        <v>63</v>
      </c>
      <c r="E44" s="80"/>
      <c r="F44" s="37"/>
      <c r="G44" s="59"/>
      <c r="H44" s="60"/>
      <c r="I44" s="60"/>
      <c r="J44" s="37"/>
    </row>
    <row r="45" spans="1:10" ht="13.5" x14ac:dyDescent="0.2">
      <c r="A45" s="127" t="s">
        <v>36</v>
      </c>
      <c r="B45" s="112">
        <v>1</v>
      </c>
      <c r="C45" s="119"/>
      <c r="D45" s="113" t="s">
        <v>59</v>
      </c>
      <c r="E45" s="113"/>
      <c r="F45" s="37"/>
      <c r="G45" s="59"/>
      <c r="H45" s="60"/>
      <c r="I45" s="60"/>
      <c r="J45" s="37"/>
    </row>
    <row r="46" spans="1:10" ht="13.5" x14ac:dyDescent="0.2">
      <c r="A46" s="110"/>
      <c r="B46" s="110"/>
      <c r="C46" s="118" t="s">
        <v>52</v>
      </c>
      <c r="D46" s="111"/>
      <c r="E46" s="111"/>
      <c r="F46" s="37"/>
      <c r="G46" s="59"/>
      <c r="H46" s="60"/>
      <c r="I46" s="60"/>
      <c r="J46" s="37"/>
    </row>
    <row r="47" spans="1:10" ht="13.5" x14ac:dyDescent="0.2">
      <c r="A47" s="6" t="s">
        <v>33</v>
      </c>
      <c r="B47" s="6">
        <v>6</v>
      </c>
      <c r="C47" s="121"/>
      <c r="D47" s="14" t="s">
        <v>73</v>
      </c>
      <c r="E47" s="14"/>
      <c r="F47" s="37"/>
      <c r="G47" s="59"/>
      <c r="H47" s="60"/>
      <c r="I47" s="60"/>
      <c r="J47" s="37"/>
    </row>
    <row r="48" spans="1:10" ht="13.5" x14ac:dyDescent="0.2">
      <c r="A48" s="146" t="s">
        <v>29</v>
      </c>
      <c r="B48" s="79">
        <v>10</v>
      </c>
      <c r="C48" s="132"/>
      <c r="D48" s="80" t="s">
        <v>74</v>
      </c>
      <c r="E48" s="80"/>
      <c r="F48" s="37"/>
      <c r="G48" s="59"/>
      <c r="H48" s="60"/>
      <c r="I48" s="60"/>
      <c r="J48" s="37"/>
    </row>
    <row r="49" spans="1:10" ht="13.5" x14ac:dyDescent="0.2">
      <c r="A49" s="146" t="s">
        <v>75</v>
      </c>
      <c r="B49" s="79">
        <v>9</v>
      </c>
      <c r="C49" s="132"/>
      <c r="D49" s="80" t="s">
        <v>76</v>
      </c>
      <c r="E49" s="80"/>
      <c r="F49" s="37"/>
      <c r="G49" s="59"/>
      <c r="H49" s="60"/>
      <c r="I49" s="60"/>
      <c r="J49" s="37"/>
    </row>
    <row r="50" spans="1:10" ht="13.5" x14ac:dyDescent="0.2">
      <c r="A50" s="146" t="s">
        <v>34</v>
      </c>
      <c r="B50" s="79">
        <v>1</v>
      </c>
      <c r="C50" s="132"/>
      <c r="D50" s="80" t="s">
        <v>63</v>
      </c>
      <c r="E50" s="80"/>
      <c r="F50" s="37"/>
      <c r="G50" s="59"/>
      <c r="H50" s="60"/>
      <c r="I50" s="60"/>
      <c r="J50" s="37"/>
    </row>
    <row r="51" spans="1:10" ht="14.25" thickBot="1" x14ac:dyDescent="0.25">
      <c r="A51" s="127" t="s">
        <v>36</v>
      </c>
      <c r="B51" s="112">
        <v>1</v>
      </c>
      <c r="C51" s="119"/>
      <c r="D51" s="113" t="s">
        <v>59</v>
      </c>
      <c r="E51" s="15"/>
      <c r="F51" s="37"/>
      <c r="G51" s="59"/>
      <c r="H51" s="60"/>
      <c r="I51" s="60"/>
      <c r="J51" s="37"/>
    </row>
    <row r="52" spans="1:10" ht="14.25" thickBot="1" x14ac:dyDescent="0.25">
      <c r="A52" s="16" t="s">
        <v>22</v>
      </c>
      <c r="B52" s="16">
        <f>SUM(B33:B51)</f>
        <v>93</v>
      </c>
      <c r="C52" s="108"/>
      <c r="D52" s="85" t="s">
        <v>37</v>
      </c>
      <c r="E52" s="17"/>
      <c r="F52" s="37"/>
      <c r="G52" s="59"/>
      <c r="H52" s="60"/>
      <c r="I52" s="60"/>
      <c r="J52" s="37"/>
    </row>
    <row r="53" spans="1:10" ht="15" thickBot="1" x14ac:dyDescent="0.35">
      <c r="A53" s="18"/>
      <c r="B53" s="18"/>
      <c r="C53" s="18"/>
      <c r="D53" s="18"/>
      <c r="E53" s="18"/>
      <c r="F53" s="37"/>
      <c r="G53" s="59"/>
      <c r="H53" s="60"/>
      <c r="I53" s="60"/>
      <c r="J53" s="37"/>
    </row>
    <row r="54" spans="1:10" ht="18.75" thickBot="1" x14ac:dyDescent="0.25">
      <c r="A54" s="10" t="s">
        <v>14</v>
      </c>
      <c r="B54" s="11">
        <v>3</v>
      </c>
      <c r="C54" s="11"/>
      <c r="D54" s="31"/>
      <c r="E54" s="33"/>
      <c r="F54" s="37"/>
      <c r="G54" s="61"/>
      <c r="H54" s="62"/>
      <c r="I54" s="62"/>
      <c r="J54" s="37"/>
    </row>
    <row r="55" spans="1:10" ht="27.75" thickBot="1" x14ac:dyDescent="0.35">
      <c r="A55" s="12" t="s">
        <v>3</v>
      </c>
      <c r="B55" s="32" t="s">
        <v>15</v>
      </c>
      <c r="C55" s="32" t="s">
        <v>43</v>
      </c>
      <c r="D55" s="12" t="s">
        <v>7</v>
      </c>
      <c r="E55" s="12" t="s">
        <v>13</v>
      </c>
      <c r="F55" s="37"/>
      <c r="G55" s="63"/>
      <c r="H55" s="63"/>
      <c r="I55" s="63"/>
      <c r="J55" s="37"/>
    </row>
    <row r="56" spans="1:10" ht="13.5" x14ac:dyDescent="0.2">
      <c r="A56" s="9"/>
      <c r="B56" s="8"/>
      <c r="C56" s="117" t="s">
        <v>49</v>
      </c>
      <c r="D56" s="13"/>
      <c r="E56" s="13"/>
      <c r="F56" s="37"/>
      <c r="G56" s="37"/>
      <c r="H56" s="37"/>
      <c r="I56" s="37"/>
      <c r="J56" s="37"/>
    </row>
    <row r="57" spans="1:10" ht="13.5" x14ac:dyDescent="0.2">
      <c r="A57" s="5" t="s">
        <v>33</v>
      </c>
      <c r="B57" s="6">
        <v>10</v>
      </c>
      <c r="C57" s="121"/>
      <c r="D57" s="14" t="s">
        <v>77</v>
      </c>
      <c r="E57" s="14"/>
      <c r="F57" s="37"/>
      <c r="G57" s="37"/>
      <c r="H57" s="37"/>
      <c r="I57" s="37"/>
      <c r="J57" s="37"/>
    </row>
    <row r="58" spans="1:10" ht="13.5" x14ac:dyDescent="0.2">
      <c r="A58" s="142" t="s">
        <v>29</v>
      </c>
      <c r="B58" s="79">
        <v>4</v>
      </c>
      <c r="C58" s="132"/>
      <c r="D58" s="80" t="s">
        <v>78</v>
      </c>
      <c r="E58" s="80"/>
      <c r="F58" s="37"/>
      <c r="G58" s="37"/>
      <c r="H58" s="37"/>
      <c r="I58" s="37"/>
      <c r="J58" s="37"/>
    </row>
    <row r="59" spans="1:10" ht="13.5" x14ac:dyDescent="0.2">
      <c r="A59" s="142" t="s">
        <v>75</v>
      </c>
      <c r="B59" s="79">
        <v>7</v>
      </c>
      <c r="C59" s="132"/>
      <c r="D59" s="80" t="s">
        <v>79</v>
      </c>
      <c r="E59" s="80"/>
      <c r="F59" s="37"/>
      <c r="G59" s="37"/>
      <c r="H59" s="37"/>
      <c r="I59" s="37"/>
      <c r="J59" s="37"/>
    </row>
    <row r="60" spans="1:10" ht="13.5" x14ac:dyDescent="0.2">
      <c r="A60" s="142" t="s">
        <v>32</v>
      </c>
      <c r="B60" s="79">
        <v>4</v>
      </c>
      <c r="C60" s="132"/>
      <c r="D60" s="80" t="s">
        <v>80</v>
      </c>
      <c r="E60" s="80"/>
      <c r="F60" s="37"/>
      <c r="G60" s="37"/>
      <c r="H60" s="37"/>
      <c r="I60" s="37"/>
      <c r="J60" s="37"/>
    </row>
    <row r="61" spans="1:10" ht="13.5" x14ac:dyDescent="0.2">
      <c r="A61" s="146" t="s">
        <v>34</v>
      </c>
      <c r="B61" s="79">
        <v>1</v>
      </c>
      <c r="C61" s="132"/>
      <c r="D61" s="80" t="s">
        <v>63</v>
      </c>
      <c r="E61" s="80"/>
      <c r="F61" s="37"/>
      <c r="G61" s="37"/>
      <c r="H61" s="37"/>
      <c r="I61" s="37"/>
      <c r="J61" s="37"/>
    </row>
    <row r="62" spans="1:10" ht="13.5" x14ac:dyDescent="0.2">
      <c r="A62" s="127" t="s">
        <v>36</v>
      </c>
      <c r="B62" s="112">
        <v>1</v>
      </c>
      <c r="C62" s="119"/>
      <c r="D62" s="113" t="s">
        <v>59</v>
      </c>
      <c r="E62" s="113"/>
      <c r="F62" s="37"/>
      <c r="G62" s="37"/>
      <c r="H62" s="37"/>
      <c r="I62" s="37"/>
      <c r="J62" s="37"/>
    </row>
    <row r="63" spans="1:10" ht="13.5" x14ac:dyDescent="0.2">
      <c r="A63" s="109"/>
      <c r="B63" s="110"/>
      <c r="C63" s="124" t="s">
        <v>50</v>
      </c>
      <c r="D63" s="111"/>
      <c r="E63" s="111"/>
      <c r="F63" s="37"/>
      <c r="G63" s="37"/>
      <c r="H63" s="37"/>
      <c r="I63" s="37"/>
      <c r="J63" s="37"/>
    </row>
    <row r="64" spans="1:10" ht="13.5" x14ac:dyDescent="0.2">
      <c r="A64" s="5" t="s">
        <v>33</v>
      </c>
      <c r="B64" s="6">
        <v>3</v>
      </c>
      <c r="C64" s="138"/>
      <c r="D64" s="14" t="s">
        <v>81</v>
      </c>
      <c r="E64" s="14"/>
    </row>
    <row r="65" spans="1:5" ht="13.5" x14ac:dyDescent="0.2">
      <c r="A65" s="139" t="s">
        <v>75</v>
      </c>
      <c r="B65" s="115">
        <v>6</v>
      </c>
      <c r="C65" s="135"/>
      <c r="D65" s="116" t="s">
        <v>79</v>
      </c>
      <c r="E65" s="116"/>
    </row>
    <row r="66" spans="1:5" ht="13.5" x14ac:dyDescent="0.2">
      <c r="A66" s="140" t="s">
        <v>32</v>
      </c>
      <c r="B66" s="6">
        <v>1</v>
      </c>
      <c r="C66" s="138"/>
      <c r="D66" s="14" t="s">
        <v>82</v>
      </c>
      <c r="E66" s="141"/>
    </row>
    <row r="67" spans="1:5" ht="13.5" x14ac:dyDescent="0.2">
      <c r="A67" s="146" t="s">
        <v>34</v>
      </c>
      <c r="B67" s="79">
        <v>1</v>
      </c>
      <c r="C67" s="132"/>
      <c r="D67" s="80" t="s">
        <v>63</v>
      </c>
      <c r="E67" s="80"/>
    </row>
    <row r="68" spans="1:5" ht="13.5" x14ac:dyDescent="0.2">
      <c r="A68" s="127" t="s">
        <v>36</v>
      </c>
      <c r="B68" s="112">
        <v>1</v>
      </c>
      <c r="C68" s="119"/>
      <c r="D68" s="113" t="s">
        <v>59</v>
      </c>
      <c r="E68" s="113"/>
    </row>
    <row r="69" spans="1:5" ht="13.5" x14ac:dyDescent="0.2">
      <c r="A69" s="109"/>
      <c r="B69" s="110"/>
      <c r="C69" s="118" t="s">
        <v>51</v>
      </c>
      <c r="D69" s="111"/>
      <c r="E69" s="111"/>
    </row>
    <row r="70" spans="1:5" ht="13.5" x14ac:dyDescent="0.2">
      <c r="A70" s="139" t="s">
        <v>75</v>
      </c>
      <c r="B70" s="115">
        <v>10</v>
      </c>
      <c r="C70" s="135"/>
      <c r="D70" s="116" t="s">
        <v>83</v>
      </c>
      <c r="E70" s="116"/>
    </row>
    <row r="71" spans="1:5" ht="13.5" x14ac:dyDescent="0.2">
      <c r="A71" s="140" t="s">
        <v>32</v>
      </c>
      <c r="B71" s="6">
        <v>8</v>
      </c>
      <c r="C71" s="138"/>
      <c r="D71" s="14" t="s">
        <v>84</v>
      </c>
      <c r="E71" s="141"/>
    </row>
    <row r="72" spans="1:5" ht="13.5" x14ac:dyDescent="0.2">
      <c r="A72" s="139" t="s">
        <v>31</v>
      </c>
      <c r="B72" s="115">
        <v>7</v>
      </c>
      <c r="C72" s="135"/>
      <c r="D72" s="116" t="s">
        <v>85</v>
      </c>
      <c r="E72" s="116"/>
    </row>
    <row r="73" spans="1:5" ht="13.5" x14ac:dyDescent="0.2">
      <c r="A73" s="146" t="s">
        <v>34</v>
      </c>
      <c r="B73" s="79">
        <v>1</v>
      </c>
      <c r="C73" s="132"/>
      <c r="D73" s="80" t="s">
        <v>63</v>
      </c>
      <c r="E73" s="80"/>
    </row>
    <row r="74" spans="1:5" ht="13.5" x14ac:dyDescent="0.2">
      <c r="A74" s="127" t="s">
        <v>36</v>
      </c>
      <c r="B74" s="112">
        <v>1</v>
      </c>
      <c r="C74" s="119"/>
      <c r="D74" s="113" t="s">
        <v>59</v>
      </c>
      <c r="E74" s="113"/>
    </row>
    <row r="75" spans="1:5" ht="13.5" x14ac:dyDescent="0.2">
      <c r="A75" s="110"/>
      <c r="B75" s="110"/>
      <c r="C75" s="118" t="s">
        <v>52</v>
      </c>
      <c r="D75" s="111"/>
      <c r="E75" s="111"/>
    </row>
    <row r="76" spans="1:5" ht="13.5" x14ac:dyDescent="0.2">
      <c r="A76" s="110" t="s">
        <v>33</v>
      </c>
      <c r="B76" s="110">
        <v>15</v>
      </c>
      <c r="C76" s="160"/>
      <c r="D76" s="111" t="s">
        <v>86</v>
      </c>
      <c r="E76" s="111"/>
    </row>
    <row r="77" spans="1:5" ht="13.5" x14ac:dyDescent="0.2">
      <c r="A77" s="6" t="s">
        <v>28</v>
      </c>
      <c r="B77" s="6">
        <v>4</v>
      </c>
      <c r="C77" s="121"/>
      <c r="D77" s="14" t="s">
        <v>87</v>
      </c>
      <c r="E77" s="14"/>
    </row>
    <row r="78" spans="1:5" ht="13.5" x14ac:dyDescent="0.2">
      <c r="A78" s="146" t="s">
        <v>33</v>
      </c>
      <c r="B78" s="79">
        <v>6</v>
      </c>
      <c r="C78" s="132"/>
      <c r="D78" s="80" t="s">
        <v>88</v>
      </c>
      <c r="E78" s="80"/>
    </row>
    <row r="79" spans="1:5" ht="13.5" x14ac:dyDescent="0.2">
      <c r="A79" s="146" t="s">
        <v>34</v>
      </c>
      <c r="B79" s="79">
        <v>1</v>
      </c>
      <c r="C79" s="132"/>
      <c r="D79" s="80" t="s">
        <v>63</v>
      </c>
      <c r="E79" s="80"/>
    </row>
    <row r="80" spans="1:5" ht="14.25" thickBot="1" x14ac:dyDescent="0.25">
      <c r="A80" s="127" t="s">
        <v>36</v>
      </c>
      <c r="B80" s="112">
        <v>1</v>
      </c>
      <c r="C80" s="119"/>
      <c r="D80" s="113" t="s">
        <v>59</v>
      </c>
      <c r="E80" s="15"/>
    </row>
    <row r="81" spans="1:5" ht="14.25" thickBot="1" x14ac:dyDescent="0.25">
      <c r="A81" s="16" t="s">
        <v>22</v>
      </c>
      <c r="B81" s="16">
        <f>SUM(B56:B80)</f>
        <v>93</v>
      </c>
      <c r="C81" s="108"/>
      <c r="D81" s="85" t="s">
        <v>37</v>
      </c>
      <c r="E81" s="17"/>
    </row>
    <row r="82" spans="1:5" ht="15" thickBot="1" x14ac:dyDescent="0.35">
      <c r="A82" s="18"/>
      <c r="B82" s="18"/>
      <c r="C82" s="18"/>
      <c r="D82" s="18"/>
      <c r="E82" s="18"/>
    </row>
    <row r="83" spans="1:5" ht="18.75" thickBot="1" x14ac:dyDescent="0.25">
      <c r="A83" s="10" t="s">
        <v>14</v>
      </c>
      <c r="B83" s="11">
        <v>4</v>
      </c>
      <c r="C83" s="11"/>
      <c r="D83" s="31"/>
      <c r="E83" s="33"/>
    </row>
    <row r="84" spans="1:5" ht="27.75" thickBot="1" x14ac:dyDescent="0.25">
      <c r="A84" s="12" t="s">
        <v>3</v>
      </c>
      <c r="B84" s="32" t="s">
        <v>15</v>
      </c>
      <c r="C84" s="32" t="s">
        <v>43</v>
      </c>
      <c r="D84" s="12" t="s">
        <v>7</v>
      </c>
      <c r="E84" s="12" t="s">
        <v>13</v>
      </c>
    </row>
    <row r="85" spans="1:5" ht="13.5" x14ac:dyDescent="0.2">
      <c r="A85" s="9"/>
      <c r="B85" s="8"/>
      <c r="C85" s="117" t="s">
        <v>49</v>
      </c>
      <c r="D85" s="13"/>
      <c r="E85" s="13"/>
    </row>
    <row r="86" spans="1:5" ht="14.25" thickBot="1" x14ac:dyDescent="0.25">
      <c r="A86" s="5" t="s">
        <v>21</v>
      </c>
      <c r="B86" s="6">
        <v>24</v>
      </c>
      <c r="C86" s="119"/>
      <c r="D86" s="14" t="s">
        <v>58</v>
      </c>
      <c r="E86" s="14"/>
    </row>
    <row r="87" spans="1:5" ht="14.25" thickBot="1" x14ac:dyDescent="0.25">
      <c r="A87" s="16" t="s">
        <v>22</v>
      </c>
      <c r="B87" s="16">
        <f>SUM(B85:B86)</f>
        <v>24</v>
      </c>
      <c r="C87" s="108"/>
      <c r="D87" s="85" t="s">
        <v>57</v>
      </c>
      <c r="E87" s="17"/>
    </row>
    <row r="88" spans="1:5" ht="14.25" x14ac:dyDescent="0.3">
      <c r="A88" s="18"/>
      <c r="B88" s="18"/>
      <c r="C88" s="18"/>
      <c r="D88" s="18"/>
      <c r="E88" s="18"/>
    </row>
    <row r="89" spans="1:5" x14ac:dyDescent="0.2">
      <c r="A89" s="84" t="s">
        <v>38</v>
      </c>
    </row>
  </sheetData>
  <sheetProtection insertRows="0" selectLockedCells="1"/>
  <dataValidations count="4">
    <dataValidation type="list" allowBlank="1" showInputMessage="1" showErrorMessage="1" sqref="A3:A28 A85:A86 A56:A80 A33:A5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:C29 B52:C52 B81:C81 B87:C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39:G53 B3:C28 B85:C86 B56:C80 B33:C5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4">
      <formula1>0</formula1>
      <formula2>DureePeriode-1</formula2>
    </dataValidation>
  </dataValidations>
  <hyperlinks>
    <hyperlink ref="E6" r:id="rId1"/>
    <hyperlink ref="E7" r:id="rId2"/>
    <hyperlink ref="E8" r:id="rId3"/>
    <hyperlink ref="E13" r:id="rId4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3009" r:id="rId8" name="btnImportPlanific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66675</xdr:rowOff>
              </to>
            </anchor>
          </controlPr>
        </control>
      </mc:Choice>
      <mc:Fallback>
        <control shapeId="43009" r:id="rId8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2017-05-30T11:58:16Z</dcterms:modified>
  <cp:contentStatus>Version 8.0</cp:contentStatus>
</cp:coreProperties>
</file>