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emoMot\DemoMot-cattinbr\"/>
    </mc:Choice>
  </mc:AlternateContent>
  <bookViews>
    <workbookView xWindow="0" yWindow="0" windowWidth="25200" windowHeight="12030" activeTab="6"/>
  </bookViews>
  <sheets>
    <sheet name="Donnees" sheetId="7" r:id="rId1"/>
    <sheet name="Diagramme" sheetId="157" r:id="rId2"/>
    <sheet name="DiagramHeader" sheetId="10" state="hidden" r:id="rId3"/>
    <sheet name="DiagramFooter" sheetId="130" state="hidden" r:id="rId4"/>
    <sheet name="PlanificationWeek" sheetId="11" state="hidden" r:id="rId5"/>
    <sheet name="achievementWeek" sheetId="154" state="hidden" r:id="rId6"/>
    <sheet name="JNLTRAV" sheetId="155" r:id="rId7"/>
    <sheet name="Planning" sheetId="156" r:id="rId8"/>
  </sheets>
  <definedNames>
    <definedName name="datDateBegin">Donnees!$C$9</definedName>
    <definedName name="ListTasks">Diagramme!$B$3:$B$24</definedName>
    <definedName name="lstTasks">Donnees!$C$20:$C$45</definedName>
    <definedName name="NbLessons">Diagramme!$C$3:$C$24</definedName>
    <definedName name="NbPerWeek">Donnees!$C$12</definedName>
    <definedName name="NbQuartPer">Donnees!$C$13</definedName>
    <definedName name="NbWeeks">Donnees!$C$11</definedName>
    <definedName name="objFooterDiagram">DiagramFooter!$B$3:$C$4</definedName>
    <definedName name="objPlanifWeek" localSheetId="7">Planning!$A$1:$E$30</definedName>
    <definedName name="objPlanifWeek">PlanificationWeek!$A$1:$D$14</definedName>
    <definedName name="objRealizedWeek" localSheetId="5">achievementWeek!$A$1:$D$19</definedName>
    <definedName name="objRealizedWeek" localSheetId="6">JNLTRAV!$A$1:$E$38</definedName>
    <definedName name="_xlnm.Print_Area" localSheetId="1">Diagramme!$A$1:$MZ$27</definedName>
    <definedName name="_xlnm.Print_Area" localSheetId="0">Donnees!$A$1:$G$54</definedName>
    <definedName name="_xlnm.Print_Area" localSheetId="6">JNLTRAV!$A$1:$E$104</definedName>
    <definedName name="_xlnm.Print_Area" localSheetId="7">Planning!$A$1:$E$88</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67" i="155" l="1"/>
  <c r="B37" i="155"/>
  <c r="B52" i="156" l="1"/>
  <c r="B23" i="157"/>
  <c r="B21" i="157"/>
  <c r="B19" i="157"/>
  <c r="B17" i="157"/>
  <c r="B15" i="157"/>
  <c r="B13" i="157"/>
  <c r="B11" i="157"/>
  <c r="B9" i="157"/>
  <c r="B7" i="157"/>
  <c r="B5" i="157"/>
  <c r="C26" i="157"/>
  <c r="C25" i="157"/>
  <c r="B87" i="156"/>
  <c r="B81" i="156"/>
  <c r="B29" i="156"/>
  <c r="B103" i="155"/>
  <c r="B97" i="155"/>
  <c r="B18" i="154" l="1"/>
  <c r="B13" i="11"/>
</calcChain>
</file>

<file path=xl/sharedStrings.xml><?xml version="1.0" encoding="utf-8"?>
<sst xmlns="http://schemas.openxmlformats.org/spreadsheetml/2006/main" count="370" uniqueCount="106">
  <si>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</si>
  <si>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</si>
  <si>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</si>
  <si>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</si>
  <si>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</si>
  <si>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</si>
  <si>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</si>
  <si>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</si>
  <si>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</si>
  <si>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</si>
  <si>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</si>
  <si>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</si>
  <si>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</si>
  <si>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</si>
  <si>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</si>
  <si>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</si>
  <si>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</si>
  <si>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</si>
  <si>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</si>
  <si>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</si>
  <si>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</si>
  <si>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</si>
  <si>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</si>
  <si>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</si>
  <si>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DémoMot</t>
  </si>
  <si>
    <t>Bruno Cattin</t>
  </si>
  <si>
    <t>N508B</t>
  </si>
  <si>
    <t>ETML</t>
  </si>
  <si>
    <t>Recherches Internet</t>
  </si>
  <si>
    <t>Code</t>
  </si>
  <si>
    <t>Manipulation Arduino</t>
  </si>
  <si>
    <t>Modifications</t>
  </si>
  <si>
    <t>Présentation</t>
  </si>
  <si>
    <t>Tests</t>
  </si>
  <si>
    <t>GitKraken</t>
  </si>
  <si>
    <t>Analyse et conception</t>
  </si>
  <si>
    <t>JdT</t>
  </si>
  <si>
    <t>Max. 90</t>
  </si>
  <si>
    <t>STOP</t>
  </si>
  <si>
    <t>S 1</t>
  </si>
  <si>
    <t>S 2</t>
  </si>
  <si>
    <t>S 3</t>
  </si>
  <si>
    <t>S 4</t>
  </si>
  <si>
    <t>Jour de la semaine</t>
  </si>
  <si>
    <t>Introduction à DémoMot et aux professeurs</t>
  </si>
  <si>
    <t>Recherche d'un sujet (orienté "embarqué")</t>
  </si>
  <si>
    <t>Projets Arduino</t>
  </si>
  <si>
    <t>Projets Raspberry</t>
  </si>
  <si>
    <t>Recherches à propos d'un projet sur un Arduino ou / et un Raspberry Pi (j'ai cliqué sur approximativement tout les projets des 10 premières pages contenus dans ces liens)</t>
  </si>
  <si>
    <t>LUNDI (27)</t>
  </si>
  <si>
    <t>MARDI (12)</t>
  </si>
  <si>
    <t>MERCREDI (27)</t>
  </si>
  <si>
    <t>VENDREDI (27)</t>
  </si>
  <si>
    <t>Rédaction du cahier des charges</t>
  </si>
  <si>
    <t>H-CdC-DemoMot-cattinbr.docx</t>
  </si>
  <si>
    <t>Création du fichier de la planification avec JdT + création de la planification en elle-même</t>
  </si>
  <si>
    <t>Discussion à propos du CdC + validation</t>
  </si>
  <si>
    <t>Max. 24</t>
  </si>
  <si>
    <t>Préparation et organisation des rangements</t>
  </si>
  <si>
    <t>Remplir mon JdT</t>
  </si>
  <si>
    <t>Apprendre à utiliser l'Arduino</t>
  </si>
  <si>
    <t>Modification de l'analyse du code</t>
  </si>
  <si>
    <t>Code de l' "interface" du jeu Tetris</t>
  </si>
  <si>
    <t>Mise à jour dans GitKraken</t>
  </si>
  <si>
    <t>Continuer à apprendre à utiliser l'Arduino</t>
  </si>
  <si>
    <t xml:space="preserve">Finition de l'interface </t>
  </si>
  <si>
    <t>Arranger les connectiques de l'arduino</t>
  </si>
  <si>
    <t>Création des schémas + si besoin une "UI"</t>
  </si>
  <si>
    <t>Début du code des fonctionnalités</t>
  </si>
  <si>
    <t>Lundi de Pentecôte</t>
  </si>
  <si>
    <t xml:space="preserve">Suite du code des fonctionnalités </t>
  </si>
  <si>
    <t>Recherches diverses sur Arduino et C#</t>
  </si>
  <si>
    <t>Modifications code / Arduino</t>
  </si>
  <si>
    <t>Tests du code et de l'Arduino</t>
  </si>
  <si>
    <t>Fin du code</t>
  </si>
  <si>
    <t>Documentation</t>
  </si>
  <si>
    <t>Préparation du mode d'emploi</t>
  </si>
  <si>
    <t>Test du code et de l'Arduino</t>
  </si>
  <si>
    <t>Finitions</t>
  </si>
  <si>
    <t>Continuation du mode d'emploi</t>
  </si>
  <si>
    <t>Création de la présentation</t>
  </si>
  <si>
    <t>Tests finaux</t>
  </si>
  <si>
    <t>Continuation de la présention</t>
  </si>
  <si>
    <t>Finalisation de la documentation</t>
  </si>
  <si>
    <t>Finalisation de la présentation</t>
  </si>
  <si>
    <t>Modifications diverses</t>
  </si>
  <si>
    <t>Tests finaux de la présentation de la docu de l'arduino et du code</t>
  </si>
  <si>
    <t>Recherches diverses</t>
  </si>
  <si>
    <t>Jeu</t>
  </si>
  <si>
    <t>Problème de connexion de mon Arduino avec l'ordinateur</t>
  </si>
  <si>
    <t>Test de l'Arduino et de lancer un programme</t>
  </si>
  <si>
    <t>Problèmes de connexion de l'Arduino au PC, résolu par une utilisation de l'Arduino via VM</t>
  </si>
  <si>
    <t>Recherches sur un problème de port série</t>
  </si>
  <si>
    <t>https://stackoverflow.com/questions/40771638/avrdude-ser-open-cant-open-device-com3-access-is-denied</t>
  </si>
  <si>
    <t>Essai de code sur l'Arduino mais problèmes de téléversements à cause du port série</t>
  </si>
  <si>
    <t>Test sur l'Arduino, câbles mal soudés, certians pas branchés, tests divers avec les PIN</t>
  </si>
  <si>
    <t>J'ai été chercher des câbles, j'ai essayé plusieurs choses avec le prof (LDS) car j'ai des lacunes en ELEOC, puis j'ai testé les boutons poussoirs et autres</t>
  </si>
  <si>
    <t>J'ai recherché des infos sur les boutons poussoirs et l'écran LCD ainsi que le Serial.print() et autres fonctions du debuggeur</t>
  </si>
  <si>
    <t>https://openclassrooms.com/courses/programmez-vos-premiers-montages-avec-arduino/le-bouton-poussoir</t>
  </si>
  <si>
    <t>Essai de code de l'Arduino</t>
  </si>
  <si>
    <t>Suivi d'un tutoriel complet sur l'utilisation d'un Arduino car je me suis rendu compte que mes lacunes étaient vraiment assez importantes donc je veux apprendre premièrement mieux l'éleoc et deuxièmement le rapport eleoc et prog pour l'arduino</t>
  </si>
  <si>
    <t>Je manipule l'arduino en même temps que le tutoriel // NOTE : je manque de matériel comme des leds ou des boutons poussoirs pour expérimenter car les seuls boutons que j'ai sont soudés</t>
  </si>
  <si>
    <t>Essai de code avec le SERIAL pour apprendre un peu plus sur les résultats que peut me donner l'arduino après execution d'un code</t>
  </si>
  <si>
    <t>Suite du tuto</t>
  </si>
  <si>
    <t>https://openclassrooms.com/courses/programmez-vos-premiers-montages-avec-arduino</t>
  </si>
  <si>
    <t>J'ai découpé des câbles et fais deux montages Arduino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</si>
</sst>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2"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b/>
      <i/>
      <sz val="10"/>
      <name val="Century Gothic"/>
      <family val="2"/>
      <scheme val="minor"/>
    </font>
    <font>
      <sz val="10"/>
      <color theme="0" tint="-0.14999847407452621"/>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rgb="FFFFFF00"/>
        <bgColor indexed="64"/>
      </patternFill>
    </fill>
    <fill>
      <patternFill patternType="solid">
        <fgColor indexed="11"/>
        <bgColor indexed="64"/>
      </patternFill>
    </fill>
  </fills>
  <borders count="6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style="thin">
        <color indexed="64"/>
      </bottom>
      <diagonal/>
    </border>
    <border>
      <left style="medium">
        <color indexed="64"/>
      </left>
      <right style="medium">
        <color indexed="64"/>
      </right>
      <top/>
      <bottom style="dashed">
        <color indexed="64"/>
      </bottom>
      <diagonal/>
    </border>
    <border>
      <left style="thin">
        <color indexed="64"/>
      </left>
      <right style="medium">
        <color indexed="64"/>
      </right>
      <top style="thin">
        <color indexed="64"/>
      </top>
      <bottom style="dashed">
        <color indexed="64"/>
      </bottom>
      <diagonal/>
    </border>
    <border>
      <left style="medium">
        <color indexed="64"/>
      </left>
      <right style="medium">
        <color indexed="64"/>
      </right>
      <top style="thin">
        <color indexed="64"/>
      </top>
      <bottom style="dashed">
        <color indexed="64"/>
      </bottom>
      <diagonal/>
    </border>
    <border>
      <left style="medium">
        <color indexed="64"/>
      </left>
      <right style="thin">
        <color indexed="64"/>
      </right>
      <top style="thin">
        <color indexed="64"/>
      </top>
      <bottom style="dashed">
        <color indexed="64"/>
      </bottom>
      <diagonal/>
    </border>
    <border>
      <left style="thin">
        <color indexed="64"/>
      </left>
      <right style="medium">
        <color indexed="64"/>
      </right>
      <top style="dashed">
        <color indexed="64"/>
      </top>
      <bottom style="thin">
        <color indexed="64"/>
      </bottom>
      <diagonal/>
    </border>
    <border>
      <left style="medium">
        <color indexed="64"/>
      </left>
      <right style="thin">
        <color indexed="64"/>
      </right>
      <top style="dashed">
        <color indexed="64"/>
      </top>
      <bottom style="thin">
        <color indexed="64"/>
      </bottom>
      <diagonal/>
    </border>
    <border>
      <left style="thin">
        <color indexed="64"/>
      </left>
      <right style="medium">
        <color indexed="64"/>
      </right>
      <top/>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dashed">
        <color indexed="64"/>
      </bottom>
      <diagonal/>
    </border>
    <border>
      <left/>
      <right style="medium">
        <color indexed="64"/>
      </right>
      <top style="dashed">
        <color indexed="64"/>
      </top>
      <bottom/>
      <diagonal/>
    </border>
    <border>
      <left style="medium">
        <color indexed="64"/>
      </left>
      <right/>
      <top style="dashed">
        <color indexed="64"/>
      </top>
      <bottom/>
      <diagonal/>
    </border>
    <border>
      <left/>
      <right style="medium">
        <color indexed="64"/>
      </right>
      <top style="dashed">
        <color indexed="64"/>
      </top>
      <bottom style="dashed">
        <color indexed="64"/>
      </bottom>
      <diagonal/>
    </border>
    <border>
      <left/>
      <right style="medium">
        <color indexed="64"/>
      </right>
      <top/>
      <bottom style="dashed">
        <color indexed="64"/>
      </bottom>
      <diagonal/>
    </border>
    <border>
      <left/>
      <right/>
      <top style="dashed">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71">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0" fillId="4" borderId="13" xfId="0" applyFont="1" applyFill="1" applyBorder="1" applyAlignment="1" applyProtection="1">
      <alignment horizontal="center" vertical="center" wrapText="1"/>
    </xf>
    <xf numFmtId="0" fontId="10" fillId="0" borderId="49" xfId="1" applyFont="1" applyFill="1" applyBorder="1" applyAlignment="1" applyProtection="1">
      <alignment horizontal="center" vertical="center" wrapText="1"/>
      <protection locked="0"/>
    </xf>
    <xf numFmtId="0" fontId="10" fillId="0" borderId="49" xfId="0" applyFont="1" applyFill="1" applyBorder="1" applyAlignment="1" applyProtection="1">
      <alignment horizontal="center" vertical="center" wrapText="1"/>
      <protection locked="0"/>
    </xf>
    <xf numFmtId="0" fontId="10" fillId="0" borderId="49" xfId="0" applyFont="1" applyFill="1" applyBorder="1" applyAlignment="1" applyProtection="1">
      <alignment horizontal="left" vertical="top" wrapText="1"/>
      <protection locked="0"/>
    </xf>
    <xf numFmtId="0" fontId="10" fillId="0" borderId="48" xfId="0" applyFont="1" applyFill="1" applyBorder="1" applyAlignment="1" applyProtection="1">
      <alignment horizontal="center" vertical="center" wrapText="1"/>
      <protection locked="0"/>
    </xf>
    <xf numFmtId="0" fontId="10" fillId="0" borderId="48" xfId="0" applyFont="1" applyFill="1" applyBorder="1" applyAlignment="1" applyProtection="1">
      <alignment horizontal="left" vertical="top" wrapText="1"/>
      <protection locked="0"/>
    </xf>
    <xf numFmtId="0" fontId="10" fillId="0" borderId="36" xfId="1" applyFont="1" applyFill="1" applyBorder="1" applyAlignment="1" applyProtection="1">
      <alignment horizontal="center" vertical="center" wrapText="1"/>
      <protection locked="0"/>
    </xf>
    <xf numFmtId="0" fontId="10" fillId="0" borderId="36" xfId="0" applyFont="1" applyFill="1" applyBorder="1" applyAlignment="1" applyProtection="1">
      <alignment horizontal="center" vertical="center" wrapText="1"/>
      <protection locked="0"/>
    </xf>
    <xf numFmtId="0" fontId="10" fillId="0" borderId="36" xfId="0" applyFont="1" applyFill="1" applyBorder="1" applyAlignment="1" applyProtection="1">
      <alignment horizontal="left" vertical="top" wrapText="1"/>
      <protection locked="0"/>
    </xf>
    <xf numFmtId="0" fontId="20" fillId="0" borderId="1" xfId="0" applyFont="1" applyFill="1" applyBorder="1" applyAlignment="1" applyProtection="1">
      <alignment horizontal="center" vertical="center" wrapText="1"/>
      <protection locked="0"/>
    </xf>
    <xf numFmtId="0" fontId="20" fillId="0" borderId="49" xfId="0" applyFont="1" applyFill="1" applyBorder="1" applyAlignment="1" applyProtection="1">
      <alignment horizontal="center" vertical="center" wrapText="1"/>
      <protection locked="0"/>
    </xf>
    <xf numFmtId="0" fontId="21" fillId="15" borderId="48" xfId="0" applyFont="1" applyFill="1" applyBorder="1" applyAlignment="1" applyProtection="1">
      <alignment horizontal="center" vertical="center" wrapText="1"/>
      <protection locked="0"/>
    </xf>
    <xf numFmtId="0" fontId="21" fillId="15" borderId="36" xfId="0" applyFont="1" applyFill="1" applyBorder="1" applyAlignment="1" applyProtection="1">
      <alignment horizontal="center" vertical="center" wrapText="1"/>
      <protection locked="0"/>
    </xf>
    <xf numFmtId="0" fontId="21" fillId="15" borderId="2" xfId="0" applyFont="1" applyFill="1" applyBorder="1" applyAlignment="1" applyProtection="1">
      <alignment horizontal="center" vertical="center" wrapText="1"/>
      <protection locked="0"/>
    </xf>
    <xf numFmtId="0" fontId="10" fillId="0" borderId="50" xfId="1" applyFont="1" applyFill="1" applyBorder="1" applyAlignment="1" applyProtection="1">
      <alignment horizontal="center" vertical="center" wrapText="1"/>
      <protection locked="0"/>
    </xf>
    <xf numFmtId="0" fontId="10" fillId="0" borderId="51" xfId="0" applyFont="1" applyFill="1" applyBorder="1" applyAlignment="1" applyProtection="1">
      <alignment horizontal="center" vertical="center" wrapText="1"/>
      <protection locked="0"/>
    </xf>
    <xf numFmtId="0" fontId="20" fillId="0" borderId="51" xfId="0" applyFont="1" applyFill="1" applyBorder="1" applyAlignment="1" applyProtection="1">
      <alignment horizontal="center" vertical="center" wrapText="1"/>
      <protection locked="0"/>
    </xf>
    <xf numFmtId="0" fontId="10" fillId="0" borderId="51" xfId="0" applyFont="1" applyFill="1" applyBorder="1" applyAlignment="1" applyProtection="1">
      <alignment horizontal="left" vertical="top" wrapText="1"/>
      <protection locked="0"/>
    </xf>
    <xf numFmtId="0" fontId="10" fillId="0" borderId="52" xfId="0" applyFont="1" applyFill="1" applyBorder="1" applyAlignment="1" applyProtection="1">
      <alignment horizontal="left" vertical="top" wrapText="1"/>
      <protection locked="0"/>
    </xf>
    <xf numFmtId="0" fontId="10" fillId="0" borderId="53" xfId="1" applyFont="1" applyFill="1" applyBorder="1" applyAlignment="1" applyProtection="1">
      <alignment horizontal="center" vertical="center" wrapText="1"/>
      <protection locked="0"/>
    </xf>
    <xf numFmtId="0" fontId="10" fillId="0" borderId="54" xfId="0"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2" fillId="0" borderId="49" xfId="1" applyFill="1" applyBorder="1" applyAlignment="1" applyProtection="1">
      <alignment horizontal="left" vertical="top" wrapText="1"/>
      <protection locked="0"/>
    </xf>
    <xf numFmtId="0" fontId="21" fillId="15" borderId="49" xfId="0" applyFont="1" applyFill="1" applyBorder="1" applyAlignment="1" applyProtection="1">
      <alignment horizontal="center" vertical="center" wrapText="1"/>
      <protection locked="0"/>
    </xf>
    <xf numFmtId="0" fontId="21" fillId="15" borderId="33" xfId="0" applyFont="1" applyFill="1" applyBorder="1" applyAlignment="1" applyProtection="1">
      <alignment horizontal="center" vertical="center" wrapText="1"/>
      <protection locked="0"/>
    </xf>
    <xf numFmtId="0" fontId="2" fillId="0" borderId="33" xfId="1" applyFill="1" applyBorder="1" applyAlignment="1" applyProtection="1">
      <alignment horizontal="left" vertical="top" wrapText="1"/>
      <protection locked="0"/>
    </xf>
    <xf numFmtId="0" fontId="10" fillId="0" borderId="55" xfId="1" applyFont="1" applyFill="1" applyBorder="1" applyAlignment="1" applyProtection="1">
      <alignment horizontal="center" vertical="center" wrapText="1"/>
      <protection locked="0"/>
    </xf>
    <xf numFmtId="0" fontId="20" fillId="15" borderId="36" xfId="0" applyFont="1" applyFill="1" applyBorder="1" applyAlignment="1" applyProtection="1">
      <alignment horizontal="center" vertical="center" wrapText="1"/>
      <protection locked="0"/>
    </xf>
    <xf numFmtId="0" fontId="2" fillId="0" borderId="8" xfId="1" applyFill="1" applyBorder="1" applyAlignment="1" applyProtection="1">
      <alignment horizontal="left" vertical="top" wrapText="1"/>
      <protection locked="0"/>
    </xf>
    <xf numFmtId="0" fontId="10" fillId="0" borderId="22" xfId="1" applyFont="1" applyFill="1" applyBorder="1" applyAlignment="1" applyProtection="1">
      <alignment horizontal="center" vertical="center" wrapText="1"/>
      <protection locked="0"/>
    </xf>
    <xf numFmtId="0" fontId="20" fillId="15" borderId="2" xfId="0" applyFont="1" applyFill="1" applyBorder="1" applyAlignment="1" applyProtection="1">
      <alignment horizontal="center" vertical="center" wrapText="1"/>
      <protection locked="0"/>
    </xf>
    <xf numFmtId="0" fontId="10" fillId="0" borderId="9" xfId="1" applyFont="1" applyFill="1" applyBorder="1" applyAlignment="1" applyProtection="1">
      <alignment horizontal="center" vertical="center" wrapText="1"/>
      <protection locked="0"/>
    </xf>
    <xf numFmtId="0" fontId="10" fillId="0" borderId="56" xfId="1" applyFont="1" applyFill="1" applyBorder="1" applyAlignment="1" applyProtection="1">
      <alignment horizontal="center" vertical="center" wrapText="1"/>
      <protection locked="0"/>
    </xf>
    <xf numFmtId="0" fontId="10" fillId="0" borderId="57" xfId="0" applyFont="1" applyFill="1" applyBorder="1" applyAlignment="1" applyProtection="1">
      <alignment horizontal="left" vertical="top" wrapText="1"/>
      <protection locked="0"/>
    </xf>
    <xf numFmtId="0" fontId="10" fillId="0" borderId="58" xfId="1" applyFont="1" applyFill="1" applyBorder="1" applyAlignment="1" applyProtection="1">
      <alignment horizontal="center" vertical="center" wrapText="1"/>
      <protection locked="0"/>
    </xf>
    <xf numFmtId="0" fontId="20" fillId="15" borderId="33" xfId="0" applyFont="1" applyFill="1" applyBorder="1" applyAlignment="1" applyProtection="1">
      <alignment horizontal="center" vertical="center" wrapText="1"/>
      <protection locked="0"/>
    </xf>
    <xf numFmtId="0" fontId="10" fillId="0" borderId="59" xfId="0" applyFont="1" applyFill="1" applyBorder="1" applyAlignment="1" applyProtection="1">
      <alignment horizontal="left" vertical="top" wrapText="1"/>
      <protection locked="0"/>
    </xf>
    <xf numFmtId="0" fontId="2" fillId="0" borderId="57" xfId="1" applyFill="1" applyBorder="1" applyAlignment="1" applyProtection="1">
      <alignment horizontal="left" vertical="top" wrapText="1"/>
      <protection locked="0"/>
    </xf>
    <xf numFmtId="0" fontId="10" fillId="0" borderId="58" xfId="0" applyFont="1" applyFill="1" applyBorder="1" applyAlignment="1" applyProtection="1">
      <alignment horizontal="center" vertical="center" wrapText="1"/>
      <protection locked="0"/>
    </xf>
    <xf numFmtId="0" fontId="10" fillId="0" borderId="60" xfId="1" applyFont="1" applyFill="1" applyBorder="1" applyAlignment="1" applyProtection="1">
      <alignment horizontal="center" vertical="center" wrapText="1"/>
      <protection locked="0"/>
    </xf>
    <xf numFmtId="0" fontId="10" fillId="0" borderId="61" xfId="1" applyFont="1" applyFill="1" applyBorder="1" applyAlignment="1" applyProtection="1">
      <alignment horizontal="center" vertical="center" wrapText="1"/>
      <protection locked="0"/>
    </xf>
    <xf numFmtId="0" fontId="20" fillId="15" borderId="49" xfId="0" applyFont="1" applyFill="1" applyBorder="1" applyAlignment="1" applyProtection="1">
      <alignment horizontal="center" vertical="center" wrapText="1"/>
      <protection locked="0"/>
    </xf>
    <xf numFmtId="0" fontId="0" fillId="16" borderId="37" xfId="0" applyFill="1" applyBorder="1" applyProtection="1"/>
    <xf numFmtId="0" fontId="0" fillId="16" borderId="38" xfId="0" applyFill="1" applyBorder="1" applyProtection="1"/>
    <xf numFmtId="0" fontId="0" fillId="16" borderId="39" xfId="0" applyFill="1" applyBorder="1" applyProtection="1"/>
    <xf numFmtId="0" fontId="0" fillId="16" borderId="40" xfId="0" applyFill="1" applyBorder="1" applyProtection="1"/>
    <xf numFmtId="0" fontId="0" fillId="16" borderId="41" xfId="0" applyFill="1" applyBorder="1" applyProtection="1"/>
    <xf numFmtId="0" fontId="10" fillId="12" borderId="13" xfId="0" applyFont="1" applyFill="1" applyBorder="1" applyAlignment="1" applyProtection="1">
      <alignment horizontal="center" vertical="center" wrapText="1"/>
    </xf>
    <xf numFmtId="0" fontId="15" fillId="9" borderId="0" xfId="0" applyFont="1" applyFill="1" applyProtection="1">
      <protection locked="0"/>
    </xf>
    <xf numFmtId="0" fontId="10" fillId="0" borderId="62" xfId="0" applyFont="1" applyFill="1" applyBorder="1" applyAlignment="1" applyProtection="1">
      <alignment horizontal="left" vertical="top" wrapText="1"/>
      <protection locked="0"/>
    </xf>
    <xf numFmtId="0" fontId="2" fillId="0" borderId="62" xfId="1" applyFill="1" applyBorder="1" applyAlignment="1" applyProtection="1">
      <alignment horizontal="left" vertical="top" wrapText="1"/>
      <protection locked="0"/>
    </xf>
    <xf numFmtId="0" fontId="10" fillId="0" borderId="60" xfId="0" applyFont="1" applyFill="1" applyBorder="1" applyAlignment="1" applyProtection="1">
      <alignment horizontal="center" vertical="center"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2</xdr:row>
          <xdr:rowOff>57150</xdr:rowOff>
        </xdr:to>
        <xdr:sp macro="" textlink="">
          <xdr:nvSpPr>
            <xdr:cNvPr id="41985" name="btnImportRealis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2</xdr:row>
          <xdr:rowOff>66675</xdr:rowOff>
        </xdr:to>
        <xdr:sp macro="" textlink="">
          <xdr:nvSpPr>
            <xdr:cNvPr id="43009" name="btnImportPlanific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openclassrooms.com/courses/programmez-vos-premiers-montages-avec-arduino" TargetMode="External"/><Relationship Id="rId13" Type="http://schemas.openxmlformats.org/officeDocument/2006/relationships/image" Target="../media/image6.emf"/><Relationship Id="rId3" Type="http://schemas.openxmlformats.org/officeDocument/2006/relationships/hyperlink" Target="H-CdC-DemoMot-cattinbr.docx" TargetMode="External"/><Relationship Id="rId7" Type="http://schemas.openxmlformats.org/officeDocument/2006/relationships/hyperlink" Target="https://openclassrooms.com/courses/programmez-vos-premiers-montages-avec-arduino/le-bouton-poussoir" TargetMode="External"/><Relationship Id="rId12" Type="http://schemas.openxmlformats.org/officeDocument/2006/relationships/control" Target="../activeX/activeX6.xml"/><Relationship Id="rId2" Type="http://schemas.openxmlformats.org/officeDocument/2006/relationships/hyperlink" Target="https://hackaday.io/projects/tag/raspberry%20pi/sort/date/" TargetMode="External"/><Relationship Id="rId1" Type="http://schemas.openxmlformats.org/officeDocument/2006/relationships/hyperlink" Target="https://hackaday.io/projects/tag/arduino/sort/date/" TargetMode="External"/><Relationship Id="rId6" Type="http://schemas.openxmlformats.org/officeDocument/2006/relationships/hyperlink" Target="https://openclassrooms.com/courses/programmez-vos-premiers-montages-avec-arduino" TargetMode="External"/><Relationship Id="rId11" Type="http://schemas.openxmlformats.org/officeDocument/2006/relationships/vmlDrawing" Target="../drawings/vmlDrawing4.vml"/><Relationship Id="rId5" Type="http://schemas.openxmlformats.org/officeDocument/2006/relationships/hyperlink" Target="https://stackoverflow.com/questions/40771638/avrdude-ser-open-cant-open-device-com3-access-is-denied" TargetMode="External"/><Relationship Id="rId10" Type="http://schemas.openxmlformats.org/officeDocument/2006/relationships/drawing" Target="../drawings/drawing4.xml"/><Relationship Id="rId4" Type="http://schemas.openxmlformats.org/officeDocument/2006/relationships/hyperlink" Target="H-CdC-DemoMot-cattinbr.docx" TargetMode="External"/><Relationship Id="rId9"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hyperlink" Target="H-CdC-DemoMot-cattinbr.docx" TargetMode="External"/><Relationship Id="rId7" Type="http://schemas.openxmlformats.org/officeDocument/2006/relationships/vmlDrawing" Target="../drawings/vmlDrawing5.vml"/><Relationship Id="rId2" Type="http://schemas.openxmlformats.org/officeDocument/2006/relationships/hyperlink" Target="https://hackaday.io/projects/tag/raspberry%20pi/sort/date/" TargetMode="External"/><Relationship Id="rId1" Type="http://schemas.openxmlformats.org/officeDocument/2006/relationships/hyperlink" Target="https://hackaday.io/projects/tag/arduino/sort/date/" TargetMode="External"/><Relationship Id="rId6" Type="http://schemas.openxmlformats.org/officeDocument/2006/relationships/drawing" Target="../drawings/drawing5.xml"/><Relationship Id="rId5" Type="http://schemas.openxmlformats.org/officeDocument/2006/relationships/printerSettings" Target="../printerSettings/printerSettings5.bin"/><Relationship Id="rId4" Type="http://schemas.openxmlformats.org/officeDocument/2006/relationships/hyperlink" Target="H-CdC-DemoMot-cattinbr.docx" TargetMode="External"/><Relationship Id="rId9"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3" zoomScaleNormal="100" workbookViewId="0">
      <selection activeCell="C24" sqref="C24"/>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60" t="s">
        <v>19</v>
      </c>
      <c r="C19" s="161"/>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30</v>
      </c>
      <c r="D23" s="37"/>
      <c r="E23" s="37"/>
      <c r="F23" s="37"/>
      <c r="G23" s="34"/>
    </row>
    <row r="24" spans="1:13" ht="19.5" x14ac:dyDescent="0.2">
      <c r="A24" s="52"/>
      <c r="B24" s="66">
        <v>4</v>
      </c>
      <c r="C24" s="28" t="s">
        <v>75</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7" t="s">
        <v>34</v>
      </c>
      <c r="D28" s="37"/>
      <c r="E28" s="37"/>
      <c r="F28" s="37"/>
      <c r="G28" s="34"/>
    </row>
    <row r="29" spans="1:13" ht="19.5" x14ac:dyDescent="0.2">
      <c r="A29" s="52"/>
      <c r="B29" s="67">
        <v>9</v>
      </c>
      <c r="C29" s="27" t="s">
        <v>35</v>
      </c>
      <c r="D29" s="37"/>
      <c r="E29" s="37"/>
      <c r="F29" s="37"/>
      <c r="G29" s="34"/>
    </row>
    <row r="30" spans="1:13" ht="19.5" x14ac:dyDescent="0.2">
      <c r="A30" s="52"/>
      <c r="B30" s="66">
        <v>10</v>
      </c>
      <c r="C30" s="28" t="s">
        <v>36</v>
      </c>
      <c r="D30" s="37"/>
      <c r="E30" s="37"/>
      <c r="F30" s="37"/>
      <c r="G30" s="34"/>
    </row>
    <row r="31" spans="1:13" ht="19.5" x14ac:dyDescent="0.2">
      <c r="A31" s="52"/>
      <c r="B31" s="66">
        <v>11</v>
      </c>
      <c r="C31" s="28"/>
      <c r="D31" s="37"/>
      <c r="E31" s="37"/>
      <c r="F31" s="37"/>
      <c r="G31" s="34"/>
      <c r="H31" s="1"/>
      <c r="I31" s="1"/>
      <c r="J31" s="1"/>
      <c r="K31" s="1"/>
      <c r="L31" s="1"/>
      <c r="M31" s="1"/>
    </row>
    <row r="32" spans="1:13" ht="19.5" x14ac:dyDescent="0.2">
      <c r="A32" s="52"/>
      <c r="B32" s="67">
        <v>12</v>
      </c>
      <c r="C32" s="28"/>
      <c r="D32" s="37"/>
      <c r="E32" s="37"/>
      <c r="F32" s="37"/>
      <c r="G32" s="34"/>
      <c r="H32" s="1"/>
      <c r="I32" s="1"/>
      <c r="J32" s="1"/>
      <c r="K32" s="1"/>
      <c r="L32" s="1"/>
      <c r="M32" s="1"/>
    </row>
    <row r="33" spans="1:13" ht="19.5" x14ac:dyDescent="0.2">
      <c r="A33" s="52"/>
      <c r="B33" s="66">
        <v>13</v>
      </c>
      <c r="C33" s="28"/>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19050</xdr:colOff>
                <xdr:row>8</xdr:row>
                <xdr:rowOff>190500</xdr:rowOff>
              </from>
              <to>
                <xdr:col>6</xdr:col>
                <xdr:colOff>142875</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19050</xdr:colOff>
                <xdr:row>5</xdr:row>
                <xdr:rowOff>19050</xdr:rowOff>
              </from>
              <to>
                <xdr:col>6</xdr:col>
                <xdr:colOff>123825</xdr:colOff>
                <xdr:row>7</xdr:row>
                <xdr:rowOff>76200</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26"/>
  <sheetViews>
    <sheetView view="pageBreakPreview" zoomScale="40" zoomScaleNormal="100" zoomScaleSheetLayoutView="40" workbookViewId="0">
      <selection activeCell="B1" sqref="B1"/>
    </sheetView>
  </sheetViews>
  <sheetFormatPr baseColWidth="10" defaultColWidth="1.5703125" defaultRowHeight="19.5" customHeight="1" x14ac:dyDescent="0.2"/>
  <cols>
    <col min="1" max="1" width="17.71093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64" t="s">
        <v>39</v>
      </c>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65"/>
      <c r="AE2" s="165"/>
      <c r="AF2" s="165"/>
      <c r="AG2" s="165"/>
      <c r="AH2" s="165"/>
      <c r="AI2" s="165"/>
      <c r="AJ2" s="165"/>
      <c r="AK2" s="165"/>
      <c r="AL2" s="165"/>
      <c r="AM2" s="165"/>
      <c r="AN2" s="165"/>
      <c r="AO2" s="165"/>
      <c r="AP2" s="165"/>
      <c r="AQ2" s="165"/>
      <c r="AR2" s="165"/>
      <c r="AS2" s="165"/>
      <c r="AT2" s="165"/>
      <c r="AU2" s="165"/>
      <c r="AV2" s="165"/>
      <c r="AW2" s="165"/>
      <c r="AX2" s="165"/>
      <c r="AY2" s="165"/>
      <c r="AZ2" s="165"/>
      <c r="BA2" s="165"/>
      <c r="BB2" s="165"/>
      <c r="BC2" s="165"/>
      <c r="BD2" s="165"/>
      <c r="BE2" s="165"/>
      <c r="BF2" s="165"/>
      <c r="BG2" s="165"/>
      <c r="BH2" s="165"/>
      <c r="BI2" s="165"/>
      <c r="BJ2" s="165"/>
      <c r="BK2" s="165"/>
      <c r="BL2" s="165"/>
      <c r="BM2" s="165"/>
      <c r="BN2" s="165"/>
      <c r="BO2" s="165"/>
      <c r="BP2" s="165"/>
      <c r="BQ2" s="165"/>
      <c r="BR2" s="165"/>
      <c r="BS2" s="165"/>
      <c r="BT2" s="165"/>
      <c r="BU2" s="165"/>
      <c r="BV2" s="165"/>
      <c r="BW2" s="165"/>
      <c r="BX2" s="165"/>
      <c r="BY2" s="165"/>
      <c r="BZ2" s="165"/>
      <c r="CA2" s="165"/>
      <c r="CB2" s="165"/>
      <c r="CC2" s="165"/>
      <c r="CD2" s="165"/>
      <c r="CE2" s="165"/>
      <c r="CF2" s="165"/>
      <c r="CG2" s="165"/>
      <c r="CH2" s="165"/>
      <c r="CI2" s="165"/>
      <c r="CJ2" s="165"/>
      <c r="CK2" s="165"/>
      <c r="CL2" s="165"/>
      <c r="CM2" s="165"/>
      <c r="CN2" s="165"/>
      <c r="CO2" s="166"/>
      <c r="CP2" s="164" t="s">
        <v>40</v>
      </c>
      <c r="CQ2" s="165"/>
      <c r="CR2" s="165"/>
      <c r="CS2" s="165"/>
      <c r="CT2" s="165"/>
      <c r="CU2" s="165"/>
      <c r="CV2" s="165"/>
      <c r="CW2" s="165"/>
      <c r="CX2" s="165"/>
      <c r="CY2" s="165"/>
      <c r="CZ2" s="165"/>
      <c r="DA2" s="165"/>
      <c r="DB2" s="165"/>
      <c r="DC2" s="165"/>
      <c r="DD2" s="165"/>
      <c r="DE2" s="165"/>
      <c r="DF2" s="165"/>
      <c r="DG2" s="165"/>
      <c r="DH2" s="165"/>
      <c r="DI2" s="165"/>
      <c r="DJ2" s="165"/>
      <c r="DK2" s="165"/>
      <c r="DL2" s="165"/>
      <c r="DM2" s="165"/>
      <c r="DN2" s="165"/>
      <c r="DO2" s="165"/>
      <c r="DP2" s="165"/>
      <c r="DQ2" s="165"/>
      <c r="DR2" s="165"/>
      <c r="DS2" s="165"/>
      <c r="DT2" s="165"/>
      <c r="DU2" s="165"/>
      <c r="DV2" s="165"/>
      <c r="DW2" s="165"/>
      <c r="DX2" s="165"/>
      <c r="DY2" s="165"/>
      <c r="DZ2" s="165"/>
      <c r="EA2" s="165"/>
      <c r="EB2" s="165"/>
      <c r="EC2" s="165"/>
      <c r="ED2" s="165"/>
      <c r="EE2" s="165"/>
      <c r="EF2" s="165"/>
      <c r="EG2" s="165"/>
      <c r="EH2" s="165"/>
      <c r="EI2" s="165"/>
      <c r="EJ2" s="165"/>
      <c r="EK2" s="165"/>
      <c r="EL2" s="165"/>
      <c r="EM2" s="165"/>
      <c r="EN2" s="165"/>
      <c r="EO2" s="165"/>
      <c r="EP2" s="165"/>
      <c r="EQ2" s="165"/>
      <c r="ER2" s="165"/>
      <c r="ES2" s="165"/>
      <c r="ET2" s="165"/>
      <c r="EU2" s="165"/>
      <c r="EV2" s="165"/>
      <c r="EW2" s="165"/>
      <c r="EX2" s="165"/>
      <c r="EY2" s="165"/>
      <c r="EZ2" s="165"/>
      <c r="FA2" s="165"/>
      <c r="FB2" s="165"/>
      <c r="FC2" s="165"/>
      <c r="FD2" s="165"/>
      <c r="FE2" s="165"/>
      <c r="FF2" s="165"/>
      <c r="FG2" s="165"/>
      <c r="FH2" s="165"/>
      <c r="FI2" s="165"/>
      <c r="FJ2" s="165"/>
      <c r="FK2" s="165"/>
      <c r="FL2" s="165"/>
      <c r="FM2" s="165"/>
      <c r="FN2" s="165"/>
      <c r="FO2" s="165"/>
      <c r="FP2" s="165"/>
      <c r="FQ2" s="165"/>
      <c r="FR2" s="165"/>
      <c r="FS2" s="165"/>
      <c r="FT2" s="165"/>
      <c r="FU2" s="165"/>
      <c r="FV2" s="165"/>
      <c r="FW2" s="165"/>
      <c r="FX2" s="165"/>
      <c r="FY2" s="165"/>
      <c r="FZ2" s="165"/>
      <c r="GA2" s="166"/>
      <c r="GB2" s="164" t="s">
        <v>41</v>
      </c>
      <c r="GC2" s="165"/>
      <c r="GD2" s="165"/>
      <c r="GE2" s="165"/>
      <c r="GF2" s="165"/>
      <c r="GG2" s="165"/>
      <c r="GH2" s="165"/>
      <c r="GI2" s="165"/>
      <c r="GJ2" s="165"/>
      <c r="GK2" s="165"/>
      <c r="GL2" s="165"/>
      <c r="GM2" s="165"/>
      <c r="GN2" s="165"/>
      <c r="GO2" s="165"/>
      <c r="GP2" s="165"/>
      <c r="GQ2" s="165"/>
      <c r="GR2" s="165"/>
      <c r="GS2" s="165"/>
      <c r="GT2" s="165"/>
      <c r="GU2" s="165"/>
      <c r="GV2" s="165"/>
      <c r="GW2" s="165"/>
      <c r="GX2" s="165"/>
      <c r="GY2" s="165"/>
      <c r="GZ2" s="165"/>
      <c r="HA2" s="165"/>
      <c r="HB2" s="165"/>
      <c r="HC2" s="165"/>
      <c r="HD2" s="165"/>
      <c r="HE2" s="165"/>
      <c r="HF2" s="165"/>
      <c r="HG2" s="165"/>
      <c r="HH2" s="165"/>
      <c r="HI2" s="165"/>
      <c r="HJ2" s="165"/>
      <c r="HK2" s="165"/>
      <c r="HL2" s="165"/>
      <c r="HM2" s="165"/>
      <c r="HN2" s="165"/>
      <c r="HO2" s="165"/>
      <c r="HP2" s="165"/>
      <c r="HQ2" s="165"/>
      <c r="HR2" s="165"/>
      <c r="HS2" s="165"/>
      <c r="HT2" s="165"/>
      <c r="HU2" s="165"/>
      <c r="HV2" s="165"/>
      <c r="HW2" s="165"/>
      <c r="HX2" s="165"/>
      <c r="HY2" s="165"/>
      <c r="HZ2" s="165"/>
      <c r="IA2" s="165"/>
      <c r="IB2" s="165"/>
      <c r="IC2" s="165"/>
      <c r="ID2" s="165"/>
      <c r="IE2" s="165"/>
      <c r="IF2" s="165"/>
      <c r="IG2" s="165"/>
      <c r="IH2" s="165"/>
      <c r="II2" s="165"/>
      <c r="IJ2" s="165"/>
      <c r="IK2" s="165"/>
      <c r="IL2" s="165"/>
      <c r="IM2" s="165"/>
      <c r="IN2" s="165"/>
      <c r="IO2" s="165"/>
      <c r="IP2" s="165"/>
      <c r="IQ2" s="165"/>
      <c r="IR2" s="165"/>
      <c r="IS2" s="165"/>
      <c r="IT2" s="165"/>
      <c r="IU2" s="165"/>
      <c r="IV2" s="165"/>
      <c r="IW2" s="165"/>
      <c r="IX2" s="165"/>
      <c r="IY2" s="165"/>
      <c r="IZ2" s="165"/>
      <c r="JA2" s="165"/>
      <c r="JB2" s="165"/>
      <c r="JC2" s="165"/>
      <c r="JD2" s="165"/>
      <c r="JE2" s="165"/>
      <c r="JF2" s="165"/>
      <c r="JG2" s="165"/>
      <c r="JH2" s="165"/>
      <c r="JI2" s="165"/>
      <c r="JJ2" s="165"/>
      <c r="JK2" s="165"/>
      <c r="JL2" s="165"/>
      <c r="JM2" s="166"/>
      <c r="JN2" s="164" t="s">
        <v>42</v>
      </c>
      <c r="JO2" s="165"/>
      <c r="JP2" s="165"/>
      <c r="JQ2" s="165"/>
      <c r="JR2" s="165"/>
      <c r="JS2" s="165"/>
      <c r="JT2" s="165"/>
      <c r="JU2" s="165"/>
      <c r="JV2" s="165"/>
      <c r="JW2" s="165"/>
      <c r="JX2" s="165"/>
      <c r="JY2" s="165"/>
      <c r="JZ2" s="165"/>
      <c r="KA2" s="165"/>
      <c r="KB2" s="165"/>
      <c r="KC2" s="165"/>
      <c r="KD2" s="165"/>
      <c r="KE2" s="165"/>
      <c r="KF2" s="165"/>
      <c r="KG2" s="165"/>
      <c r="KH2" s="165"/>
      <c r="KI2" s="165"/>
      <c r="KJ2" s="165"/>
      <c r="KK2" s="165"/>
      <c r="KL2" s="165"/>
      <c r="KM2" s="165"/>
      <c r="KN2" s="165"/>
      <c r="KO2" s="165"/>
      <c r="KP2" s="165"/>
      <c r="KQ2" s="165"/>
      <c r="KR2" s="165"/>
      <c r="KS2" s="165"/>
      <c r="KT2" s="165"/>
      <c r="KU2" s="165"/>
      <c r="KV2" s="165"/>
      <c r="KW2" s="165"/>
      <c r="KX2" s="165"/>
      <c r="KY2" s="165"/>
      <c r="KZ2" s="165"/>
      <c r="LA2" s="165"/>
      <c r="LB2" s="165"/>
      <c r="LC2" s="165"/>
      <c r="LD2" s="165"/>
      <c r="LE2" s="165"/>
      <c r="LF2" s="165"/>
      <c r="LG2" s="165"/>
      <c r="LH2" s="165"/>
      <c r="LI2" s="165"/>
      <c r="LJ2" s="165"/>
      <c r="LK2" s="165"/>
      <c r="LL2" s="165"/>
      <c r="LM2" s="165"/>
      <c r="LN2" s="165"/>
      <c r="LO2" s="165"/>
      <c r="LP2" s="165"/>
      <c r="LQ2" s="165"/>
      <c r="LR2" s="165"/>
      <c r="LS2" s="165"/>
      <c r="LT2" s="165"/>
      <c r="LU2" s="165"/>
      <c r="LV2" s="165"/>
      <c r="LW2" s="165"/>
      <c r="LX2" s="165"/>
      <c r="LY2" s="165"/>
      <c r="LZ2" s="165"/>
      <c r="MA2" s="165"/>
      <c r="MB2" s="165"/>
      <c r="MC2" s="165"/>
      <c r="MD2" s="165"/>
      <c r="ME2" s="165"/>
      <c r="MF2" s="165"/>
      <c r="MG2" s="165"/>
      <c r="MH2" s="165"/>
      <c r="MI2" s="165"/>
      <c r="MJ2" s="165"/>
      <c r="MK2" s="165"/>
      <c r="ML2" s="165"/>
      <c r="MM2" s="165"/>
      <c r="MN2" s="165"/>
      <c r="MO2" s="165"/>
      <c r="MP2" s="165"/>
      <c r="MQ2" s="165"/>
      <c r="MR2" s="165"/>
      <c r="MS2" s="165"/>
      <c r="MT2" s="165"/>
      <c r="MU2" s="165"/>
      <c r="MV2" s="165"/>
      <c r="MW2" s="165"/>
      <c r="MX2" s="165"/>
      <c r="MY2" s="166"/>
    </row>
    <row r="3" spans="1:363" ht="19.5" customHeight="1" x14ac:dyDescent="0.2">
      <c r="A3" s="88"/>
      <c r="B3" s="167" t="s">
        <v>21</v>
      </c>
      <c r="C3" s="30">
        <v>55</v>
      </c>
      <c r="D3" s="150"/>
      <c r="E3" s="151"/>
      <c r="F3" s="152"/>
      <c r="G3" s="153"/>
      <c r="H3" s="90"/>
      <c r="I3" s="91"/>
      <c r="J3" s="92"/>
      <c r="K3" s="90"/>
      <c r="L3" s="91"/>
      <c r="M3" s="92"/>
      <c r="N3" s="90"/>
      <c r="O3" s="91"/>
      <c r="P3" s="92"/>
      <c r="Q3" s="90"/>
      <c r="R3" s="91"/>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89"/>
      <c r="CQ3" s="90"/>
      <c r="CR3" s="152"/>
      <c r="CS3" s="153"/>
      <c r="CT3" s="151"/>
      <c r="CU3" s="152"/>
      <c r="CV3" s="153"/>
      <c r="CW3" s="151"/>
      <c r="CX3" s="152"/>
      <c r="CY3" s="153"/>
      <c r="CZ3" s="151"/>
      <c r="DA3" s="152"/>
      <c r="DB3" s="153"/>
      <c r="DC3" s="151"/>
      <c r="DD3" s="152"/>
      <c r="DE3" s="153"/>
      <c r="DF3" s="151"/>
      <c r="DG3" s="152"/>
      <c r="DH3" s="153"/>
      <c r="DI3" s="151"/>
      <c r="DJ3" s="152"/>
      <c r="DK3" s="153"/>
      <c r="DL3" s="151"/>
      <c r="DM3" s="152"/>
      <c r="DN3" s="153"/>
      <c r="DO3" s="151"/>
      <c r="DP3" s="152"/>
      <c r="DQ3" s="153"/>
      <c r="DR3" s="151"/>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92"/>
      <c r="GO3" s="90"/>
      <c r="GP3" s="91"/>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152"/>
      <c r="JW3" s="153"/>
      <c r="JX3" s="151"/>
      <c r="JY3" s="152"/>
      <c r="JZ3" s="153"/>
      <c r="KA3" s="151"/>
      <c r="KB3" s="152"/>
      <c r="KC3" s="153"/>
      <c r="KD3" s="151"/>
      <c r="KE3" s="152"/>
      <c r="KF3" s="153"/>
      <c r="KG3" s="151"/>
      <c r="KH3" s="152"/>
      <c r="KI3" s="153"/>
      <c r="KJ3" s="151"/>
      <c r="KK3" s="152"/>
      <c r="KL3" s="153"/>
      <c r="KM3" s="151"/>
      <c r="KN3" s="152"/>
      <c r="KO3" s="153"/>
      <c r="KP3" s="151"/>
      <c r="KQ3" s="152"/>
      <c r="KR3" s="153"/>
      <c r="KS3" s="151"/>
      <c r="KT3" s="91"/>
      <c r="KU3" s="92"/>
      <c r="KV3" s="90"/>
      <c r="KW3" s="91"/>
      <c r="KX3" s="92"/>
      <c r="KY3" s="90"/>
      <c r="KZ3" s="91"/>
      <c r="LA3" s="92"/>
      <c r="LB3" s="90"/>
      <c r="LC3" s="91"/>
      <c r="LD3" s="92"/>
      <c r="LE3" s="90"/>
      <c r="LF3" s="91"/>
      <c r="LG3" s="92"/>
      <c r="LH3" s="90"/>
      <c r="LI3" s="91"/>
      <c r="LJ3" s="92"/>
      <c r="LK3" s="90"/>
      <c r="LL3" s="91"/>
      <c r="LM3" s="92"/>
      <c r="LN3" s="90"/>
      <c r="LO3" s="91"/>
      <c r="LP3" s="92"/>
      <c r="LQ3" s="90"/>
      <c r="LR3" s="91"/>
      <c r="LS3" s="92"/>
      <c r="LT3" s="90"/>
      <c r="LU3" s="91"/>
      <c r="LV3" s="92"/>
      <c r="LW3" s="90"/>
      <c r="LX3" s="91"/>
      <c r="LY3" s="92"/>
      <c r="LZ3" s="90"/>
      <c r="MA3" s="91"/>
      <c r="MB3" s="92"/>
      <c r="MC3" s="90"/>
      <c r="MD3" s="91"/>
      <c r="ME3" s="92"/>
      <c r="MF3" s="90"/>
      <c r="MG3" s="91"/>
      <c r="MH3" s="92"/>
      <c r="MI3" s="90"/>
      <c r="MJ3" s="91"/>
      <c r="MK3" s="92"/>
      <c r="ML3" s="90"/>
      <c r="MM3" s="91"/>
      <c r="MN3" s="92"/>
      <c r="MO3" s="90"/>
      <c r="MP3" s="91"/>
      <c r="MQ3" s="92"/>
      <c r="MR3" s="90"/>
      <c r="MS3" s="91"/>
      <c r="MT3" s="92"/>
      <c r="MU3" s="90"/>
      <c r="MV3" s="91"/>
      <c r="MW3" s="92"/>
      <c r="MX3" s="90"/>
      <c r="MY3" s="93"/>
    </row>
    <row r="4" spans="1:363" ht="19.5" customHeight="1" thickBot="1" x14ac:dyDescent="0.25">
      <c r="A4" s="88"/>
      <c r="B4" s="168"/>
      <c r="C4" s="44">
        <v>0</v>
      </c>
      <c r="D4" s="94"/>
      <c r="E4" s="95"/>
      <c r="F4" s="96"/>
      <c r="G4" s="97"/>
      <c r="H4" s="95"/>
      <c r="I4" s="96"/>
      <c r="J4" s="97"/>
      <c r="K4" s="95"/>
      <c r="L4" s="96"/>
      <c r="M4" s="97"/>
      <c r="N4" s="95"/>
      <c r="O4" s="96"/>
      <c r="P4" s="97"/>
      <c r="Q4" s="95"/>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97"/>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94"/>
      <c r="CQ4" s="95"/>
      <c r="CR4" s="96"/>
      <c r="CS4" s="97"/>
      <c r="CT4" s="95"/>
      <c r="CU4" s="96"/>
      <c r="CV4" s="97"/>
      <c r="CW4" s="95"/>
      <c r="CX4" s="96"/>
      <c r="CY4" s="97"/>
      <c r="CZ4" s="95"/>
      <c r="DA4" s="96"/>
      <c r="DB4" s="97"/>
      <c r="DC4" s="95"/>
      <c r="DD4" s="96"/>
      <c r="DE4" s="97"/>
      <c r="DF4" s="95"/>
      <c r="DG4" s="96"/>
      <c r="DH4" s="97"/>
      <c r="DI4" s="95"/>
      <c r="DJ4" s="96"/>
      <c r="DK4" s="97"/>
      <c r="DL4" s="95"/>
      <c r="DM4" s="96"/>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97"/>
      <c r="GU4" s="95"/>
      <c r="GV4" s="96"/>
      <c r="GW4" s="97"/>
      <c r="GX4" s="95"/>
      <c r="GY4" s="96"/>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69" t="str">
        <f>Donnees!$C$21</f>
        <v>Recherches Internet</v>
      </c>
      <c r="C5" s="99">
        <v>14</v>
      </c>
      <c r="D5" s="89"/>
      <c r="E5" s="90"/>
      <c r="F5" s="91"/>
      <c r="G5" s="92"/>
      <c r="H5" s="151"/>
      <c r="I5" s="152"/>
      <c r="J5" s="153"/>
      <c r="K5" s="151"/>
      <c r="L5" s="152"/>
      <c r="M5" s="153"/>
      <c r="N5" s="90"/>
      <c r="O5" s="91"/>
      <c r="P5" s="92"/>
      <c r="Q5" s="90"/>
      <c r="R5" s="91"/>
      <c r="S5" s="92"/>
      <c r="T5" s="90"/>
      <c r="U5" s="91"/>
      <c r="V5" s="92"/>
      <c r="W5" s="90"/>
      <c r="X5" s="91"/>
      <c r="Y5" s="92"/>
      <c r="Z5" s="90"/>
      <c r="AA5" s="91"/>
      <c r="AB5" s="92"/>
      <c r="AC5" s="90"/>
      <c r="AD5" s="91"/>
      <c r="AE5" s="92"/>
      <c r="AF5" s="90"/>
      <c r="AG5" s="91"/>
      <c r="AH5" s="92"/>
      <c r="AI5" s="90"/>
      <c r="AJ5" s="91"/>
      <c r="AK5" s="92"/>
      <c r="AL5" s="90"/>
      <c r="AM5" s="91"/>
      <c r="AN5" s="92"/>
      <c r="AO5" s="90"/>
      <c r="AP5" s="91"/>
      <c r="AQ5" s="92"/>
      <c r="AR5" s="90"/>
      <c r="AS5" s="91"/>
      <c r="AT5" s="92"/>
      <c r="AU5" s="90"/>
      <c r="AV5" s="91"/>
      <c r="AW5" s="92"/>
      <c r="AX5" s="90"/>
      <c r="AY5" s="91"/>
      <c r="AZ5" s="92"/>
      <c r="BA5" s="90"/>
      <c r="BB5" s="91"/>
      <c r="BC5" s="92"/>
      <c r="BD5" s="90"/>
      <c r="BE5" s="91"/>
      <c r="BF5" s="92"/>
      <c r="BG5" s="90"/>
      <c r="BH5" s="91"/>
      <c r="BI5" s="92"/>
      <c r="BJ5" s="90"/>
      <c r="BK5" s="91"/>
      <c r="BL5" s="92"/>
      <c r="BM5" s="90"/>
      <c r="BN5" s="91"/>
      <c r="BO5" s="92"/>
      <c r="BP5" s="90"/>
      <c r="BQ5" s="91"/>
      <c r="BR5" s="92"/>
      <c r="BS5" s="90"/>
      <c r="BT5" s="91"/>
      <c r="BU5" s="92"/>
      <c r="BV5" s="90"/>
      <c r="BW5" s="91"/>
      <c r="BX5" s="92"/>
      <c r="BY5" s="90"/>
      <c r="BZ5" s="91"/>
      <c r="CA5" s="92"/>
      <c r="CB5" s="90"/>
      <c r="CC5" s="91"/>
      <c r="CD5" s="92"/>
      <c r="CE5" s="90"/>
      <c r="CF5" s="91"/>
      <c r="CG5" s="92"/>
      <c r="CH5" s="90"/>
      <c r="CI5" s="91"/>
      <c r="CJ5" s="92"/>
      <c r="CK5" s="90"/>
      <c r="CL5" s="91"/>
      <c r="CM5" s="92"/>
      <c r="CN5" s="90"/>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152"/>
      <c r="EF5" s="153"/>
      <c r="EG5" s="151"/>
      <c r="EH5" s="152"/>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152"/>
      <c r="JK5" s="153"/>
      <c r="JL5" s="151"/>
      <c r="JM5" s="154"/>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63"/>
      <c r="C6" s="100">
        <v>0</v>
      </c>
      <c r="D6" s="94"/>
      <c r="E6" s="95"/>
      <c r="F6" s="96"/>
      <c r="G6" s="97"/>
      <c r="H6" s="95"/>
      <c r="I6" s="96"/>
      <c r="J6" s="97"/>
      <c r="K6" s="95"/>
      <c r="L6" s="96"/>
      <c r="M6" s="97"/>
      <c r="N6" s="95"/>
      <c r="O6" s="96"/>
      <c r="P6" s="97"/>
      <c r="Q6" s="95"/>
      <c r="R6" s="96"/>
      <c r="S6" s="97"/>
      <c r="T6" s="95"/>
      <c r="U6" s="96"/>
      <c r="V6" s="97"/>
      <c r="W6" s="95"/>
      <c r="X6" s="96"/>
      <c r="Y6" s="97"/>
      <c r="Z6" s="95"/>
      <c r="AA6" s="96"/>
      <c r="AB6" s="97"/>
      <c r="AC6" s="95"/>
      <c r="AD6" s="96"/>
      <c r="AE6" s="97"/>
      <c r="AF6" s="95"/>
      <c r="AG6" s="96"/>
      <c r="AH6" s="97"/>
      <c r="AI6" s="95"/>
      <c r="AJ6" s="96"/>
      <c r="AK6" s="97"/>
      <c r="AL6" s="95"/>
      <c r="AM6" s="96"/>
      <c r="AN6" s="97"/>
      <c r="AO6" s="95"/>
      <c r="AP6" s="96"/>
      <c r="AQ6" s="97"/>
      <c r="AR6" s="95"/>
      <c r="AS6" s="96"/>
      <c r="AT6" s="97"/>
      <c r="AU6" s="95"/>
      <c r="AV6" s="96"/>
      <c r="AW6" s="97"/>
      <c r="AX6" s="95"/>
      <c r="AY6" s="96"/>
      <c r="AZ6" s="97"/>
      <c r="BA6" s="95"/>
      <c r="BB6" s="96"/>
      <c r="BC6" s="97"/>
      <c r="BD6" s="95"/>
      <c r="BE6" s="96"/>
      <c r="BF6" s="97"/>
      <c r="BG6" s="95"/>
      <c r="BH6" s="96"/>
      <c r="BI6" s="97"/>
      <c r="BJ6" s="95"/>
      <c r="BK6" s="96"/>
      <c r="BL6" s="97"/>
      <c r="BM6" s="95"/>
      <c r="BN6" s="96"/>
      <c r="BO6" s="97"/>
      <c r="BP6" s="95"/>
      <c r="BQ6" s="96"/>
      <c r="BR6" s="97"/>
      <c r="BS6" s="95"/>
      <c r="BT6" s="96"/>
      <c r="BU6" s="97"/>
      <c r="BV6" s="95"/>
      <c r="BW6" s="96"/>
      <c r="BX6" s="97"/>
      <c r="BY6" s="95"/>
      <c r="BZ6" s="96"/>
      <c r="CA6" s="97"/>
      <c r="CB6" s="95"/>
      <c r="CC6" s="96"/>
      <c r="CD6" s="97"/>
      <c r="CE6" s="95"/>
      <c r="CF6" s="96"/>
      <c r="CG6" s="97"/>
      <c r="CH6" s="95"/>
      <c r="CI6" s="96"/>
      <c r="CJ6" s="97"/>
      <c r="CK6" s="95"/>
      <c r="CL6" s="96"/>
      <c r="CM6" s="97"/>
      <c r="CN6" s="95"/>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95"/>
      <c r="EB6" s="96"/>
      <c r="EC6" s="97"/>
      <c r="ED6" s="95"/>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62" t="str">
        <f>Donnees!$C$22</f>
        <v>Code</v>
      </c>
      <c r="C7" s="99">
        <v>59</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91"/>
      <c r="BC7" s="92"/>
      <c r="BD7" s="90"/>
      <c r="BE7" s="91"/>
      <c r="BF7" s="153"/>
      <c r="BG7" s="151"/>
      <c r="BH7" s="152"/>
      <c r="BI7" s="153"/>
      <c r="BJ7" s="151"/>
      <c r="BK7" s="152"/>
      <c r="BL7" s="153"/>
      <c r="BM7" s="151"/>
      <c r="BN7" s="152"/>
      <c r="BO7" s="92"/>
      <c r="BP7" s="90"/>
      <c r="BQ7" s="91"/>
      <c r="BR7" s="92"/>
      <c r="BS7" s="90"/>
      <c r="BT7" s="91"/>
      <c r="BU7" s="92"/>
      <c r="BV7" s="151"/>
      <c r="BW7" s="152"/>
      <c r="BX7" s="153"/>
      <c r="BY7" s="151"/>
      <c r="BZ7" s="152"/>
      <c r="CA7" s="153"/>
      <c r="CB7" s="151"/>
      <c r="CC7" s="152"/>
      <c r="CD7" s="153"/>
      <c r="CE7" s="151"/>
      <c r="CF7" s="152"/>
      <c r="CG7" s="153"/>
      <c r="CH7" s="151"/>
      <c r="CI7" s="152"/>
      <c r="CJ7" s="153"/>
      <c r="CK7" s="151"/>
      <c r="CL7" s="152"/>
      <c r="CM7" s="153"/>
      <c r="CN7" s="151"/>
      <c r="CO7" s="154"/>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152"/>
      <c r="DZ7" s="153"/>
      <c r="EA7" s="151"/>
      <c r="EB7" s="152"/>
      <c r="EC7" s="92"/>
      <c r="ED7" s="90"/>
      <c r="EE7" s="91"/>
      <c r="EF7" s="92"/>
      <c r="EG7" s="90"/>
      <c r="EH7" s="91"/>
      <c r="EI7" s="153"/>
      <c r="EJ7" s="151"/>
      <c r="EK7" s="152"/>
      <c r="EL7" s="153"/>
      <c r="EM7" s="151"/>
      <c r="EN7" s="152"/>
      <c r="EO7" s="153"/>
      <c r="EP7" s="151"/>
      <c r="EQ7" s="152"/>
      <c r="ER7" s="153"/>
      <c r="ES7" s="151"/>
      <c r="ET7" s="152"/>
      <c r="EU7" s="92"/>
      <c r="EV7" s="90"/>
      <c r="EW7" s="91"/>
      <c r="EX7" s="92"/>
      <c r="EY7" s="90"/>
      <c r="EZ7" s="91"/>
      <c r="FA7" s="92"/>
      <c r="FB7" s="90"/>
      <c r="FC7" s="91"/>
      <c r="FD7" s="92"/>
      <c r="FE7" s="90"/>
      <c r="FF7" s="91"/>
      <c r="FG7" s="92"/>
      <c r="FH7" s="90"/>
      <c r="FI7" s="91"/>
      <c r="FJ7" s="92"/>
      <c r="FK7" s="90"/>
      <c r="FL7" s="152"/>
      <c r="FM7" s="153"/>
      <c r="FN7" s="151"/>
      <c r="FO7" s="152"/>
      <c r="FP7" s="153"/>
      <c r="FQ7" s="151"/>
      <c r="FR7" s="152"/>
      <c r="FS7" s="153"/>
      <c r="FT7" s="151"/>
      <c r="FU7" s="152"/>
      <c r="FV7" s="92"/>
      <c r="FW7" s="90"/>
      <c r="FX7" s="91"/>
      <c r="FY7" s="92"/>
      <c r="FZ7" s="90"/>
      <c r="GA7" s="93"/>
      <c r="GB7" s="89"/>
      <c r="GC7" s="90"/>
      <c r="GD7" s="91"/>
      <c r="GE7" s="92"/>
      <c r="GF7" s="90"/>
      <c r="GG7" s="91"/>
      <c r="GH7" s="92"/>
      <c r="GI7" s="90"/>
      <c r="GJ7" s="91"/>
      <c r="GK7" s="92"/>
      <c r="GL7" s="90"/>
      <c r="GM7" s="91"/>
      <c r="GN7" s="92"/>
      <c r="GO7" s="90"/>
      <c r="GP7" s="91"/>
      <c r="GQ7" s="153"/>
      <c r="GR7" s="151"/>
      <c r="GS7" s="152"/>
      <c r="GT7" s="153"/>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63"/>
      <c r="C8" s="100">
        <v>0</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97"/>
      <c r="DO8" s="95"/>
      <c r="DP8" s="96"/>
      <c r="DQ8" s="97"/>
      <c r="DR8" s="95"/>
      <c r="DS8" s="96"/>
      <c r="DT8" s="97"/>
      <c r="DU8" s="95"/>
      <c r="DV8" s="96"/>
      <c r="DW8" s="97"/>
      <c r="DX8" s="95"/>
      <c r="DY8" s="96"/>
      <c r="DZ8" s="97"/>
      <c r="EA8" s="95"/>
      <c r="EB8" s="96"/>
      <c r="EC8" s="97"/>
      <c r="ED8" s="95"/>
      <c r="EE8" s="96"/>
      <c r="EF8" s="97"/>
      <c r="EG8" s="95"/>
      <c r="EH8" s="96"/>
      <c r="EI8" s="97"/>
      <c r="EJ8" s="95"/>
      <c r="EK8" s="96"/>
      <c r="EL8" s="97"/>
      <c r="EM8" s="95"/>
      <c r="EN8" s="96"/>
      <c r="EO8" s="97"/>
      <c r="EP8" s="95"/>
      <c r="EQ8" s="96"/>
      <c r="ER8" s="97"/>
      <c r="ES8" s="95"/>
      <c r="ET8" s="96"/>
      <c r="EU8" s="97"/>
      <c r="EV8" s="95"/>
      <c r="EW8" s="96"/>
      <c r="EX8" s="97"/>
      <c r="EY8" s="95"/>
      <c r="EZ8" s="96"/>
      <c r="FA8" s="97"/>
      <c r="FB8" s="95"/>
      <c r="FC8" s="96"/>
      <c r="FD8" s="97"/>
      <c r="FE8" s="95"/>
      <c r="FF8" s="96"/>
      <c r="FG8" s="97"/>
      <c r="FH8" s="95"/>
      <c r="FI8" s="96"/>
      <c r="FJ8" s="97"/>
      <c r="FK8" s="95"/>
      <c r="FL8" s="96"/>
      <c r="FM8" s="97"/>
      <c r="FN8" s="95"/>
      <c r="FO8" s="96"/>
      <c r="FP8" s="97"/>
      <c r="FQ8" s="95"/>
      <c r="FR8" s="96"/>
      <c r="FS8" s="97"/>
      <c r="FT8" s="95"/>
      <c r="FU8" s="96"/>
      <c r="FV8" s="97"/>
      <c r="FW8" s="95"/>
      <c r="FX8" s="96"/>
      <c r="FY8" s="97"/>
      <c r="FZ8" s="95"/>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62" t="str">
        <f>Donnees!$C$23</f>
        <v>Manipulation Arduino</v>
      </c>
      <c r="C9" s="99">
        <v>15</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91"/>
      <c r="AN9" s="92"/>
      <c r="AO9" s="90"/>
      <c r="AP9" s="91"/>
      <c r="AQ9" s="153"/>
      <c r="AR9" s="151"/>
      <c r="AS9" s="152"/>
      <c r="AT9" s="153"/>
      <c r="AU9" s="151"/>
      <c r="AV9" s="152"/>
      <c r="AW9" s="153"/>
      <c r="AX9" s="151"/>
      <c r="AY9" s="152"/>
      <c r="AZ9" s="153"/>
      <c r="BA9" s="90"/>
      <c r="BB9" s="91"/>
      <c r="BC9" s="92"/>
      <c r="BD9" s="90"/>
      <c r="BE9" s="91"/>
      <c r="BF9" s="92"/>
      <c r="BG9" s="90"/>
      <c r="BH9" s="91"/>
      <c r="BI9" s="92"/>
      <c r="BJ9" s="90"/>
      <c r="BK9" s="91"/>
      <c r="BL9" s="92"/>
      <c r="BM9" s="90"/>
      <c r="BN9" s="91"/>
      <c r="BO9" s="92"/>
      <c r="BP9" s="90"/>
      <c r="BQ9" s="152"/>
      <c r="BR9" s="153"/>
      <c r="BS9" s="151"/>
      <c r="BT9" s="152"/>
      <c r="BU9" s="153"/>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92"/>
      <c r="DR9" s="90"/>
      <c r="DS9" s="91"/>
      <c r="DT9" s="92"/>
      <c r="DU9" s="90"/>
      <c r="DV9" s="91"/>
      <c r="DW9" s="92"/>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63"/>
      <c r="C10" s="100">
        <v>0</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96"/>
      <c r="CA10" s="97"/>
      <c r="CB10" s="95"/>
      <c r="CC10" s="96"/>
      <c r="CD10" s="97"/>
      <c r="CE10" s="95"/>
      <c r="CF10" s="96"/>
      <c r="CG10" s="97"/>
      <c r="CH10" s="95"/>
      <c r="CI10" s="96"/>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96"/>
      <c r="DW10" s="97"/>
      <c r="DX10" s="95"/>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62" t="str">
        <f>Donnees!$C$24</f>
        <v>Documentation</v>
      </c>
      <c r="C11" s="99">
        <v>32</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3"/>
      <c r="CP11" s="89"/>
      <c r="CQ11" s="90"/>
      <c r="CR11" s="91"/>
      <c r="CS11" s="92"/>
      <c r="CT11" s="90"/>
      <c r="CU11" s="91"/>
      <c r="CV11" s="92"/>
      <c r="CW11" s="90"/>
      <c r="CX11" s="91"/>
      <c r="CY11" s="92"/>
      <c r="CZ11" s="90"/>
      <c r="DA11" s="91"/>
      <c r="DB11" s="92"/>
      <c r="DC11" s="90"/>
      <c r="DD11" s="91"/>
      <c r="DE11" s="92"/>
      <c r="DF11" s="90"/>
      <c r="DG11" s="91"/>
      <c r="DH11" s="92"/>
      <c r="DI11" s="90"/>
      <c r="DJ11" s="91"/>
      <c r="DK11" s="92"/>
      <c r="DL11" s="90"/>
      <c r="DM11" s="91"/>
      <c r="DN11" s="92"/>
      <c r="DO11" s="90"/>
      <c r="DP11" s="91"/>
      <c r="DQ11" s="92"/>
      <c r="DR11" s="90"/>
      <c r="DS11" s="91"/>
      <c r="DT11" s="92"/>
      <c r="DU11" s="90"/>
      <c r="DV11" s="91"/>
      <c r="DW11" s="92"/>
      <c r="DX11" s="90"/>
      <c r="DY11" s="91"/>
      <c r="DZ11" s="92"/>
      <c r="EA11" s="90"/>
      <c r="EB11" s="91"/>
      <c r="EC11" s="92"/>
      <c r="ED11" s="90"/>
      <c r="EE11" s="91"/>
      <c r="EF11" s="92"/>
      <c r="EG11" s="90"/>
      <c r="EH11" s="91"/>
      <c r="EI11" s="92"/>
      <c r="EJ11" s="90"/>
      <c r="EK11" s="91"/>
      <c r="EL11" s="92"/>
      <c r="EM11" s="90"/>
      <c r="EN11" s="91"/>
      <c r="EO11" s="92"/>
      <c r="EP11" s="90"/>
      <c r="EQ11" s="91"/>
      <c r="ER11" s="92"/>
      <c r="ES11" s="90"/>
      <c r="ET11" s="91"/>
      <c r="EU11" s="92"/>
      <c r="EV11" s="90"/>
      <c r="EW11" s="91"/>
      <c r="EX11" s="92"/>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153"/>
      <c r="FW11" s="151"/>
      <c r="FX11" s="152"/>
      <c r="FY11" s="153"/>
      <c r="FZ11" s="151"/>
      <c r="GA11" s="154"/>
      <c r="GB11" s="150"/>
      <c r="GC11" s="151"/>
      <c r="GD11" s="152"/>
      <c r="GE11" s="92"/>
      <c r="GF11" s="90"/>
      <c r="GG11" s="91"/>
      <c r="GH11" s="92"/>
      <c r="GI11" s="90"/>
      <c r="GJ11" s="91"/>
      <c r="GK11" s="92"/>
      <c r="GL11" s="90"/>
      <c r="GM11" s="91"/>
      <c r="GN11" s="92"/>
      <c r="GO11" s="90"/>
      <c r="GP11" s="91"/>
      <c r="GQ11" s="92"/>
      <c r="GR11" s="90"/>
      <c r="GS11" s="91"/>
      <c r="GT11" s="92"/>
      <c r="GU11" s="151"/>
      <c r="GV11" s="152"/>
      <c r="GW11" s="153"/>
      <c r="GX11" s="151"/>
      <c r="GY11" s="152"/>
      <c r="GZ11" s="153"/>
      <c r="HA11" s="151"/>
      <c r="HB11" s="91"/>
      <c r="HC11" s="92"/>
      <c r="HD11" s="90"/>
      <c r="HE11" s="91"/>
      <c r="HF11" s="92"/>
      <c r="HG11" s="90"/>
      <c r="HH11" s="91"/>
      <c r="HI11" s="92"/>
      <c r="HJ11" s="90"/>
      <c r="HK11" s="152"/>
      <c r="HL11" s="153"/>
      <c r="HM11" s="151"/>
      <c r="HN11" s="152"/>
      <c r="HO11" s="153"/>
      <c r="HP11" s="151"/>
      <c r="HQ11" s="91"/>
      <c r="HR11" s="92"/>
      <c r="HS11" s="90"/>
      <c r="HT11" s="152"/>
      <c r="HU11" s="153"/>
      <c r="HV11" s="151"/>
      <c r="HW11" s="152"/>
      <c r="HX11" s="153"/>
      <c r="HY11" s="151"/>
      <c r="HZ11" s="152"/>
      <c r="IA11" s="153"/>
      <c r="IB11" s="151"/>
      <c r="IC11" s="152"/>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63"/>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62" t="str">
        <f>Donnees!$C$25</f>
        <v>Modifications</v>
      </c>
      <c r="C13" s="99">
        <v>27</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151"/>
      <c r="BB13" s="152"/>
      <c r="BC13" s="153"/>
      <c r="BD13" s="151"/>
      <c r="BE13" s="152"/>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152"/>
      <c r="DT13" s="153"/>
      <c r="DU13" s="151"/>
      <c r="DV13" s="152"/>
      <c r="DW13" s="153"/>
      <c r="DX13" s="151"/>
      <c r="DY13" s="91"/>
      <c r="DZ13" s="92"/>
      <c r="EA13" s="90"/>
      <c r="EB13" s="91"/>
      <c r="EC13" s="92"/>
      <c r="ED13" s="90"/>
      <c r="EE13" s="91"/>
      <c r="EF13" s="92"/>
      <c r="EG13" s="90"/>
      <c r="EH13" s="91"/>
      <c r="EI13" s="92"/>
      <c r="EJ13" s="90"/>
      <c r="EK13" s="91"/>
      <c r="EL13" s="92"/>
      <c r="EM13" s="90"/>
      <c r="EN13" s="91"/>
      <c r="EO13" s="92"/>
      <c r="EP13" s="90"/>
      <c r="EQ13" s="91"/>
      <c r="ER13" s="92"/>
      <c r="ES13" s="90"/>
      <c r="ET13" s="91"/>
      <c r="EU13" s="153"/>
      <c r="EV13" s="151"/>
      <c r="EW13" s="152"/>
      <c r="EX13" s="153"/>
      <c r="EY13" s="151"/>
      <c r="EZ13" s="152"/>
      <c r="FA13" s="153"/>
      <c r="FB13" s="151"/>
      <c r="FC13" s="152"/>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152"/>
      <c r="IM13" s="153"/>
      <c r="IN13" s="151"/>
      <c r="IO13" s="152"/>
      <c r="IP13" s="153"/>
      <c r="IQ13" s="151"/>
      <c r="IR13" s="152"/>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63"/>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62" t="str">
        <f>Donnees!$C$26</f>
        <v>Présentation</v>
      </c>
      <c r="C15" s="99">
        <v>13</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152"/>
      <c r="HC15" s="153"/>
      <c r="HD15" s="151"/>
      <c r="HE15" s="152"/>
      <c r="HF15" s="92"/>
      <c r="HG15" s="90"/>
      <c r="HH15" s="91"/>
      <c r="HI15" s="92"/>
      <c r="HJ15" s="90"/>
      <c r="HK15" s="91"/>
      <c r="HL15" s="92"/>
      <c r="HM15" s="90"/>
      <c r="HN15" s="91"/>
      <c r="HO15" s="92"/>
      <c r="HP15" s="90"/>
      <c r="HQ15" s="152"/>
      <c r="HR15" s="92"/>
      <c r="HS15" s="90"/>
      <c r="HT15" s="91"/>
      <c r="HU15" s="92"/>
      <c r="HV15" s="90"/>
      <c r="HW15" s="91"/>
      <c r="HX15" s="92"/>
      <c r="HY15" s="90"/>
      <c r="HZ15" s="91"/>
      <c r="IA15" s="92"/>
      <c r="IB15" s="90"/>
      <c r="IC15" s="91"/>
      <c r="ID15" s="153"/>
      <c r="IE15" s="151"/>
      <c r="IF15" s="152"/>
      <c r="IG15" s="153"/>
      <c r="IH15" s="151"/>
      <c r="II15" s="152"/>
      <c r="IJ15" s="153"/>
      <c r="IK15" s="151"/>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63"/>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62" t="str">
        <f>Donnees!$C$27</f>
        <v>Tests</v>
      </c>
      <c r="C17" s="99">
        <v>40</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90"/>
      <c r="DP17" s="91"/>
      <c r="DQ17" s="92"/>
      <c r="DR17" s="90"/>
      <c r="DS17" s="91"/>
      <c r="DT17" s="92"/>
      <c r="DU17" s="90"/>
      <c r="DV17" s="91"/>
      <c r="DW17" s="92"/>
      <c r="DX17" s="90"/>
      <c r="DY17" s="91"/>
      <c r="DZ17" s="92"/>
      <c r="EA17" s="90"/>
      <c r="EB17" s="91"/>
      <c r="EC17" s="92"/>
      <c r="ED17" s="90"/>
      <c r="EE17" s="91"/>
      <c r="EF17" s="92"/>
      <c r="EG17" s="90"/>
      <c r="EH17" s="91"/>
      <c r="EI17" s="92"/>
      <c r="EJ17" s="90"/>
      <c r="EK17" s="91"/>
      <c r="EL17" s="92"/>
      <c r="EM17" s="90"/>
      <c r="EN17" s="91"/>
      <c r="EO17" s="92"/>
      <c r="EP17" s="90"/>
      <c r="EQ17" s="91"/>
      <c r="ER17" s="92"/>
      <c r="ES17" s="90"/>
      <c r="ET17" s="91"/>
      <c r="EU17" s="92"/>
      <c r="EV17" s="90"/>
      <c r="EW17" s="91"/>
      <c r="EX17" s="92"/>
      <c r="EY17" s="90"/>
      <c r="EZ17" s="91"/>
      <c r="FA17" s="92"/>
      <c r="FB17" s="90"/>
      <c r="FC17" s="91"/>
      <c r="FD17" s="92"/>
      <c r="FE17" s="90"/>
      <c r="FF17" s="152"/>
      <c r="FG17" s="153"/>
      <c r="FH17" s="151"/>
      <c r="FI17" s="152"/>
      <c r="FJ17" s="153"/>
      <c r="FK17" s="151"/>
      <c r="FL17" s="91"/>
      <c r="FM17" s="92"/>
      <c r="FN17" s="90"/>
      <c r="FO17" s="91"/>
      <c r="FP17" s="92"/>
      <c r="FQ17" s="90"/>
      <c r="FR17" s="91"/>
      <c r="FS17" s="92"/>
      <c r="FT17" s="90"/>
      <c r="FU17" s="91"/>
      <c r="FV17" s="92"/>
      <c r="FW17" s="90"/>
      <c r="FX17" s="91"/>
      <c r="FY17" s="92"/>
      <c r="FZ17" s="90"/>
      <c r="GA17" s="93"/>
      <c r="GB17" s="89"/>
      <c r="GC17" s="90"/>
      <c r="GD17" s="91"/>
      <c r="GE17" s="92"/>
      <c r="GF17" s="90"/>
      <c r="GG17" s="152"/>
      <c r="GH17" s="153"/>
      <c r="GI17" s="151"/>
      <c r="GJ17" s="152"/>
      <c r="GK17" s="153"/>
      <c r="GL17" s="151"/>
      <c r="GM17" s="152"/>
      <c r="GN17" s="153"/>
      <c r="GO17" s="151"/>
      <c r="GP17" s="152"/>
      <c r="GQ17" s="92"/>
      <c r="GR17" s="90"/>
      <c r="GS17" s="91"/>
      <c r="GT17" s="92"/>
      <c r="GU17" s="90"/>
      <c r="GV17" s="91"/>
      <c r="GW17" s="92"/>
      <c r="GX17" s="90"/>
      <c r="GY17" s="91"/>
      <c r="GZ17" s="92"/>
      <c r="HA17" s="90"/>
      <c r="HB17" s="91"/>
      <c r="HC17" s="92"/>
      <c r="HD17" s="90"/>
      <c r="HE17" s="91"/>
      <c r="HF17" s="92"/>
      <c r="HG17" s="90"/>
      <c r="HH17" s="152"/>
      <c r="HI17" s="153"/>
      <c r="HJ17" s="151"/>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152"/>
      <c r="IV17" s="153"/>
      <c r="IW17" s="151"/>
      <c r="IX17" s="152"/>
      <c r="IY17" s="153"/>
      <c r="IZ17" s="151"/>
      <c r="JA17" s="152"/>
      <c r="JB17" s="153"/>
      <c r="JC17" s="151"/>
      <c r="JD17" s="152"/>
      <c r="JE17" s="153"/>
      <c r="JF17" s="151"/>
      <c r="JG17" s="152"/>
      <c r="JH17" s="153"/>
      <c r="JI17" s="151"/>
      <c r="JJ17" s="91"/>
      <c r="JK17" s="92"/>
      <c r="JL17" s="90"/>
      <c r="JM17" s="93"/>
      <c r="JN17" s="150"/>
      <c r="JO17" s="151"/>
      <c r="JP17" s="152"/>
      <c r="JQ17" s="153"/>
      <c r="JR17" s="151"/>
      <c r="JS17" s="152"/>
      <c r="JT17" s="92"/>
      <c r="JU17" s="90"/>
      <c r="JV17" s="91"/>
      <c r="JW17" s="92"/>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63"/>
      <c r="C18" s="100">
        <v>0</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97"/>
      <c r="EP18" s="95"/>
      <c r="EQ18" s="96"/>
      <c r="ER18" s="97"/>
      <c r="ES18" s="95"/>
      <c r="ET18" s="96"/>
      <c r="EU18" s="97"/>
      <c r="EV18" s="95"/>
      <c r="EW18" s="96"/>
      <c r="EX18" s="97"/>
      <c r="EY18" s="95"/>
      <c r="EZ18" s="96"/>
      <c r="FA18" s="97"/>
      <c r="FB18" s="95"/>
      <c r="FC18" s="96"/>
      <c r="FD18" s="97"/>
      <c r="FE18" s="95"/>
      <c r="FF18" s="96"/>
      <c r="FG18" s="97"/>
      <c r="FH18" s="95"/>
      <c r="FI18" s="96"/>
      <c r="FJ18" s="97"/>
      <c r="FK18" s="95"/>
      <c r="FL18" s="96"/>
      <c r="FM18" s="97"/>
      <c r="FN18" s="95"/>
      <c r="FO18" s="96"/>
      <c r="FP18" s="97"/>
      <c r="FQ18" s="95"/>
      <c r="FR18" s="96"/>
      <c r="FS18" s="97"/>
      <c r="FT18" s="95"/>
      <c r="FU18" s="96"/>
      <c r="FV18" s="97"/>
      <c r="FW18" s="95"/>
      <c r="FX18" s="96"/>
      <c r="FY18" s="97"/>
      <c r="FZ18" s="95"/>
      <c r="GA18" s="98"/>
      <c r="GB18" s="94"/>
      <c r="GC18" s="95"/>
      <c r="GD18" s="96"/>
      <c r="GE18" s="97"/>
      <c r="GF18" s="95"/>
      <c r="GG18" s="96"/>
      <c r="GH18" s="97"/>
      <c r="GI18" s="95"/>
      <c r="GJ18" s="96"/>
      <c r="GK18" s="97"/>
      <c r="GL18" s="95"/>
      <c r="GM18" s="96"/>
      <c r="GN18" s="97"/>
      <c r="GO18" s="95"/>
      <c r="GP18" s="96"/>
      <c r="GQ18" s="97"/>
      <c r="GR18" s="95"/>
      <c r="GS18" s="96"/>
      <c r="GT18" s="97"/>
      <c r="GU18" s="95"/>
      <c r="GV18" s="96"/>
      <c r="GW18" s="97"/>
      <c r="GX18" s="95"/>
      <c r="GY18" s="96"/>
      <c r="GZ18" s="97"/>
      <c r="HA18" s="95"/>
      <c r="HB18" s="96"/>
      <c r="HC18" s="97"/>
      <c r="HD18" s="95"/>
      <c r="HE18" s="96"/>
      <c r="HF18" s="97"/>
      <c r="HG18" s="95"/>
      <c r="HH18" s="96"/>
      <c r="HI18" s="97"/>
      <c r="HJ18" s="95"/>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62" t="str">
        <f>Donnees!$C$28</f>
        <v>GitKraken</v>
      </c>
      <c r="C19" s="99">
        <v>11</v>
      </c>
      <c r="D19" s="89"/>
      <c r="E19" s="90"/>
      <c r="F19" s="91"/>
      <c r="G19" s="92"/>
      <c r="H19" s="90"/>
      <c r="I19" s="91"/>
      <c r="J19" s="92"/>
      <c r="K19" s="90"/>
      <c r="L19" s="91"/>
      <c r="M19" s="92"/>
      <c r="N19" s="90"/>
      <c r="O19" s="91"/>
      <c r="P19" s="92"/>
      <c r="Q19" s="90"/>
      <c r="R19" s="91"/>
      <c r="S19" s="92"/>
      <c r="T19" s="90"/>
      <c r="U19" s="91"/>
      <c r="V19" s="92"/>
      <c r="W19" s="90"/>
      <c r="X19" s="91"/>
      <c r="Y19" s="92"/>
      <c r="Z19" s="90"/>
      <c r="AA19" s="91"/>
      <c r="AB19" s="153"/>
      <c r="AC19" s="90"/>
      <c r="AD19" s="91"/>
      <c r="AE19" s="92"/>
      <c r="AF19" s="90"/>
      <c r="AG19" s="91"/>
      <c r="AH19" s="92"/>
      <c r="AI19" s="90"/>
      <c r="AJ19" s="91"/>
      <c r="AK19" s="92"/>
      <c r="AL19" s="90"/>
      <c r="AM19" s="91"/>
      <c r="AN19" s="92"/>
      <c r="AO19" s="151"/>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153"/>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150"/>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153"/>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153"/>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153"/>
      <c r="GF19" s="90"/>
      <c r="GG19" s="91"/>
      <c r="GH19" s="92"/>
      <c r="GI19" s="90"/>
      <c r="GJ19" s="91"/>
      <c r="GK19" s="92"/>
      <c r="GL19" s="90"/>
      <c r="GM19" s="91"/>
      <c r="GN19" s="92"/>
      <c r="GO19" s="90"/>
      <c r="GP19" s="91"/>
      <c r="GQ19" s="92"/>
      <c r="GR19" s="90"/>
      <c r="GS19" s="91"/>
      <c r="GT19" s="92"/>
      <c r="GU19" s="90"/>
      <c r="GV19" s="91"/>
      <c r="GW19" s="92"/>
      <c r="GX19" s="90"/>
      <c r="GY19" s="91"/>
      <c r="GZ19" s="92"/>
      <c r="HA19" s="90"/>
      <c r="HB19" s="91"/>
      <c r="HC19" s="92"/>
      <c r="HD19" s="90"/>
      <c r="HE19" s="91"/>
      <c r="HF19" s="153"/>
      <c r="HG19" s="90"/>
      <c r="HH19" s="91"/>
      <c r="HI19" s="92"/>
      <c r="HJ19" s="90"/>
      <c r="HK19" s="91"/>
      <c r="HL19" s="92"/>
      <c r="HM19" s="90"/>
      <c r="HN19" s="91"/>
      <c r="HO19" s="92"/>
      <c r="HP19" s="90"/>
      <c r="HQ19" s="91"/>
      <c r="HR19" s="153"/>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153"/>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153"/>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63"/>
      <c r="C20" s="100">
        <v>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62" t="str">
        <f>Donnees!$C$29</f>
        <v>Analyse et conception</v>
      </c>
      <c r="C21" s="99">
        <v>24</v>
      </c>
      <c r="D21" s="89"/>
      <c r="E21" s="90"/>
      <c r="F21" s="91"/>
      <c r="G21" s="92"/>
      <c r="H21" s="90"/>
      <c r="I21" s="91"/>
      <c r="J21" s="92"/>
      <c r="K21" s="90"/>
      <c r="L21" s="91"/>
      <c r="M21" s="92"/>
      <c r="N21" s="151"/>
      <c r="O21" s="152"/>
      <c r="P21" s="153"/>
      <c r="Q21" s="151"/>
      <c r="R21" s="152"/>
      <c r="S21" s="153"/>
      <c r="T21" s="151"/>
      <c r="U21" s="152"/>
      <c r="V21" s="153"/>
      <c r="W21" s="151"/>
      <c r="X21" s="152"/>
      <c r="Y21" s="153"/>
      <c r="Z21" s="151"/>
      <c r="AA21" s="152"/>
      <c r="AB21" s="92"/>
      <c r="AC21" s="90"/>
      <c r="AD21" s="91"/>
      <c r="AE21" s="153"/>
      <c r="AF21" s="151"/>
      <c r="AG21" s="152"/>
      <c r="AH21" s="153"/>
      <c r="AI21" s="151"/>
      <c r="AJ21" s="152"/>
      <c r="AK21" s="153"/>
      <c r="AL21" s="151"/>
      <c r="AM21" s="152"/>
      <c r="AN21" s="153"/>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92"/>
      <c r="HM21" s="90"/>
      <c r="HN21" s="91"/>
      <c r="HO21" s="92"/>
      <c r="HP21" s="90"/>
      <c r="HQ21" s="91"/>
      <c r="HR21" s="92"/>
      <c r="HS21" s="90"/>
      <c r="HT21" s="91"/>
      <c r="HU21" s="92"/>
      <c r="HV21" s="90"/>
      <c r="HW21" s="91"/>
      <c r="HX21" s="92"/>
      <c r="HY21" s="90"/>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63"/>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62" t="str">
        <f>Donnees!$C$30</f>
        <v>JdT</v>
      </c>
      <c r="C23" s="99">
        <v>12</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151"/>
      <c r="AD23" s="152"/>
      <c r="AE23" s="92"/>
      <c r="AF23" s="90"/>
      <c r="AG23" s="91"/>
      <c r="AH23" s="92"/>
      <c r="AI23" s="90"/>
      <c r="AJ23" s="91"/>
      <c r="AK23" s="92"/>
      <c r="AL23" s="90"/>
      <c r="AM23" s="91"/>
      <c r="AN23" s="92"/>
      <c r="AO23" s="90"/>
      <c r="AP23" s="152"/>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151"/>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151"/>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151"/>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151"/>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151"/>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151"/>
      <c r="HH23" s="91"/>
      <c r="HI23" s="92"/>
      <c r="HJ23" s="90"/>
      <c r="HK23" s="91"/>
      <c r="HL23" s="92"/>
      <c r="HM23" s="90"/>
      <c r="HN23" s="91"/>
      <c r="HO23" s="92"/>
      <c r="HP23" s="90"/>
      <c r="HQ23" s="91"/>
      <c r="HR23" s="92"/>
      <c r="HS23" s="151"/>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151"/>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151"/>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x14ac:dyDescent="0.2">
      <c r="B24" s="163"/>
      <c r="C24" s="100">
        <v>0</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97"/>
      <c r="EG24" s="95"/>
      <c r="EH24" s="96"/>
      <c r="EI24" s="97"/>
      <c r="EJ24" s="95"/>
      <c r="EK24" s="96"/>
      <c r="EL24" s="97"/>
      <c r="EM24" s="95"/>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47" t="s">
        <v>16</v>
      </c>
      <c r="C25" s="49">
        <f>SUM($C$3,$C$5,$C$7,$C$9,$C$11,$C$13,$C$15,$C$17,$C$19,$C$21,$C$23)</f>
        <v>302</v>
      </c>
      <c r="D25" s="102"/>
      <c r="E25" s="103"/>
      <c r="F25" s="103"/>
      <c r="G25" s="103"/>
      <c r="H25" s="103"/>
      <c r="I25" s="103"/>
      <c r="J25" s="103"/>
      <c r="K25" s="103"/>
      <c r="L25" s="103"/>
      <c r="M25" s="103"/>
      <c r="N25" s="103"/>
      <c r="O25" s="103"/>
      <c r="P25" s="103"/>
      <c r="Q25" s="103"/>
      <c r="R25" s="103"/>
      <c r="S25" s="103"/>
      <c r="T25" s="103"/>
      <c r="U25" s="103"/>
      <c r="V25" s="103"/>
      <c r="W25" s="103"/>
      <c r="X25" s="103"/>
      <c r="Y25" s="103"/>
      <c r="Z25" s="103"/>
      <c r="AA25" s="103"/>
      <c r="AB25" s="103"/>
      <c r="AC25" s="103"/>
      <c r="AD25" s="103"/>
      <c r="AE25" s="103"/>
      <c r="AF25" s="103"/>
      <c r="AG25" s="103"/>
      <c r="AH25" s="103"/>
      <c r="AI25" s="103"/>
      <c r="AJ25" s="103"/>
      <c r="AK25" s="103"/>
      <c r="AL25" s="103"/>
      <c r="AM25" s="103"/>
      <c r="AN25" s="103"/>
      <c r="AO25" s="103"/>
      <c r="AP25" s="103"/>
      <c r="AQ25" s="103"/>
      <c r="AR25" s="103"/>
      <c r="AS25" s="103"/>
      <c r="AT25" s="103"/>
      <c r="AU25" s="103"/>
      <c r="AV25" s="103"/>
      <c r="AW25" s="103"/>
      <c r="AX25" s="103"/>
      <c r="AY25" s="103"/>
      <c r="AZ25" s="103"/>
      <c r="BA25" s="103"/>
      <c r="BB25" s="103"/>
      <c r="BC25" s="103"/>
      <c r="BD25" s="103"/>
      <c r="BE25" s="103"/>
      <c r="BF25" s="103"/>
      <c r="BG25" s="103"/>
      <c r="BH25" s="103"/>
      <c r="BI25" s="103"/>
      <c r="BJ25" s="103"/>
      <c r="BK25" s="103"/>
      <c r="BL25" s="103"/>
      <c r="BM25" s="103"/>
      <c r="BN25" s="103"/>
      <c r="BO25" s="103"/>
      <c r="BP25" s="103"/>
      <c r="BQ25" s="103"/>
      <c r="BR25" s="103"/>
      <c r="BS25" s="103"/>
      <c r="BT25" s="103"/>
      <c r="BU25" s="103"/>
      <c r="BV25" s="103"/>
      <c r="BW25" s="103"/>
      <c r="BX25" s="103"/>
      <c r="BY25" s="103"/>
      <c r="BZ25" s="103"/>
      <c r="CA25" s="103"/>
      <c r="CB25" s="103"/>
      <c r="CC25" s="103"/>
      <c r="CD25" s="103"/>
      <c r="CE25" s="103"/>
      <c r="CF25" s="103"/>
      <c r="CG25" s="103"/>
      <c r="CH25" s="103"/>
      <c r="CI25" s="103"/>
      <c r="CJ25" s="103"/>
      <c r="CK25" s="103"/>
      <c r="CL25" s="103"/>
      <c r="CM25" s="103"/>
      <c r="CN25" s="103"/>
      <c r="CO25" s="104"/>
      <c r="CP25" s="102"/>
      <c r="CQ25" s="103"/>
      <c r="CR25" s="103"/>
      <c r="CS25" s="103"/>
      <c r="CT25" s="103"/>
      <c r="CU25" s="103"/>
      <c r="CV25" s="103"/>
      <c r="CW25" s="103"/>
      <c r="CX25" s="103"/>
      <c r="CY25" s="103"/>
      <c r="CZ25" s="103"/>
      <c r="DA25" s="103"/>
      <c r="DB25" s="103"/>
      <c r="DC25" s="103"/>
      <c r="DD25" s="103"/>
      <c r="DE25" s="103"/>
      <c r="DF25" s="103"/>
      <c r="DG25" s="103"/>
      <c r="DH25" s="103"/>
      <c r="DI25" s="103"/>
      <c r="DJ25" s="103"/>
      <c r="DK25" s="103"/>
      <c r="DL25" s="103"/>
      <c r="DM25" s="103"/>
      <c r="DN25" s="103"/>
      <c r="DO25" s="103"/>
      <c r="DP25" s="103"/>
      <c r="DQ25" s="103"/>
      <c r="DR25" s="103"/>
      <c r="DS25" s="103"/>
      <c r="DT25" s="103"/>
      <c r="DU25" s="103"/>
      <c r="DV25" s="103"/>
      <c r="DW25" s="103"/>
      <c r="DX25" s="103"/>
      <c r="DY25" s="103"/>
      <c r="DZ25" s="103"/>
      <c r="EA25" s="103"/>
      <c r="EB25" s="103"/>
      <c r="EC25" s="103"/>
      <c r="ED25" s="103"/>
      <c r="EE25" s="103"/>
      <c r="EF25" s="103"/>
      <c r="EG25" s="103"/>
      <c r="EH25" s="103"/>
      <c r="EI25" s="103"/>
      <c r="EJ25" s="103"/>
      <c r="EK25" s="103"/>
      <c r="EL25" s="103"/>
      <c r="EM25" s="103"/>
      <c r="EN25" s="103"/>
      <c r="EO25" s="103"/>
      <c r="EP25" s="103"/>
      <c r="EQ25" s="103"/>
      <c r="ER25" s="103"/>
      <c r="ES25" s="103"/>
      <c r="ET25" s="103"/>
      <c r="EU25" s="103"/>
      <c r="EV25" s="103"/>
      <c r="EW25" s="103"/>
      <c r="EX25" s="103"/>
      <c r="EY25" s="103"/>
      <c r="EZ25" s="103"/>
      <c r="FA25" s="103"/>
      <c r="FB25" s="103"/>
      <c r="FC25" s="103"/>
      <c r="FD25" s="103"/>
      <c r="FE25" s="103"/>
      <c r="FF25" s="103"/>
      <c r="FG25" s="103"/>
      <c r="FH25" s="103"/>
      <c r="FI25" s="103"/>
      <c r="FJ25" s="103"/>
      <c r="FK25" s="103"/>
      <c r="FL25" s="103"/>
      <c r="FM25" s="103"/>
      <c r="FN25" s="103"/>
      <c r="FO25" s="103"/>
      <c r="FP25" s="103"/>
      <c r="FQ25" s="103"/>
      <c r="FR25" s="103"/>
      <c r="FS25" s="103"/>
      <c r="FT25" s="103"/>
      <c r="FU25" s="103"/>
      <c r="FV25" s="103"/>
      <c r="FW25" s="103"/>
      <c r="FX25" s="103"/>
      <c r="FY25" s="103"/>
      <c r="FZ25" s="103"/>
      <c r="GA25" s="104"/>
      <c r="GB25" s="102"/>
      <c r="GC25" s="103"/>
      <c r="GD25" s="103"/>
      <c r="GE25" s="103"/>
      <c r="GF25" s="103"/>
      <c r="GG25" s="103"/>
      <c r="GH25" s="103"/>
      <c r="GI25" s="103"/>
      <c r="GJ25" s="103"/>
      <c r="GK25" s="103"/>
      <c r="GL25" s="103"/>
      <c r="GM25" s="103"/>
      <c r="GN25" s="103"/>
      <c r="GO25" s="103"/>
      <c r="GP25" s="103"/>
      <c r="GQ25" s="103"/>
      <c r="GR25" s="103"/>
      <c r="GS25" s="103"/>
      <c r="GT25" s="103"/>
      <c r="GU25" s="103"/>
      <c r="GV25" s="103"/>
      <c r="GW25" s="103"/>
      <c r="GX25" s="103"/>
      <c r="GY25" s="103"/>
      <c r="GZ25" s="103"/>
      <c r="HA25" s="103"/>
      <c r="HB25" s="103"/>
      <c r="HC25" s="103"/>
      <c r="HD25" s="103"/>
      <c r="HE25" s="103"/>
      <c r="HF25" s="103"/>
      <c r="HG25" s="103"/>
      <c r="HH25" s="103"/>
      <c r="HI25" s="103"/>
      <c r="HJ25" s="103"/>
      <c r="HK25" s="103"/>
      <c r="HL25" s="103"/>
      <c r="HM25" s="103"/>
      <c r="HN25" s="103"/>
      <c r="HO25" s="103"/>
      <c r="HP25" s="103"/>
      <c r="HQ25" s="103"/>
      <c r="HR25" s="103"/>
      <c r="HS25" s="103"/>
      <c r="HT25" s="103"/>
      <c r="HU25" s="103"/>
      <c r="HV25" s="103"/>
      <c r="HW25" s="103"/>
      <c r="HX25" s="103"/>
      <c r="HY25" s="103"/>
      <c r="HZ25" s="103"/>
      <c r="IA25" s="103"/>
      <c r="IB25" s="103"/>
      <c r="IC25" s="103"/>
      <c r="ID25" s="103"/>
      <c r="IE25" s="103"/>
      <c r="IF25" s="103"/>
      <c r="IG25" s="103"/>
      <c r="IH25" s="103"/>
      <c r="II25" s="103"/>
      <c r="IJ25" s="103"/>
      <c r="IK25" s="103"/>
      <c r="IL25" s="103"/>
      <c r="IM25" s="103"/>
      <c r="IN25" s="103"/>
      <c r="IO25" s="103"/>
      <c r="IP25" s="103"/>
      <c r="IQ25" s="103"/>
      <c r="IR25" s="103"/>
      <c r="IS25" s="103"/>
      <c r="IT25" s="103"/>
      <c r="IU25" s="103"/>
      <c r="IV25" s="103"/>
      <c r="IW25" s="103"/>
      <c r="IX25" s="103"/>
      <c r="IY25" s="103"/>
      <c r="IZ25" s="103"/>
      <c r="JA25" s="103"/>
      <c r="JB25" s="103"/>
      <c r="JC25" s="103"/>
      <c r="JD25" s="103"/>
      <c r="JE25" s="103"/>
      <c r="JF25" s="103"/>
      <c r="JG25" s="103"/>
      <c r="JH25" s="103"/>
      <c r="JI25" s="103"/>
      <c r="JJ25" s="103"/>
      <c r="JK25" s="103"/>
      <c r="JL25" s="103"/>
      <c r="JM25" s="104"/>
      <c r="JN25" s="102"/>
      <c r="JO25" s="103"/>
      <c r="JP25" s="103"/>
      <c r="JQ25" s="103"/>
      <c r="JR25" s="103"/>
      <c r="JS25" s="103"/>
      <c r="JT25" s="103"/>
      <c r="JU25" s="103"/>
      <c r="JV25" s="103"/>
      <c r="JW25" s="103"/>
      <c r="JX25" s="103"/>
      <c r="JY25" s="103"/>
      <c r="JZ25" s="103"/>
      <c r="KA25" s="103"/>
      <c r="KB25" s="103"/>
      <c r="KC25" s="103"/>
      <c r="KD25" s="103"/>
      <c r="KE25" s="103"/>
      <c r="KF25" s="103"/>
      <c r="KG25" s="103"/>
      <c r="KH25" s="103"/>
      <c r="KI25" s="103"/>
      <c r="KJ25" s="103"/>
      <c r="KK25" s="103"/>
      <c r="KL25" s="103"/>
      <c r="KM25" s="103"/>
      <c r="KN25" s="103"/>
      <c r="KO25" s="103"/>
      <c r="KP25" s="103"/>
      <c r="KQ25" s="103"/>
      <c r="KR25" s="103"/>
      <c r="KS25" s="103"/>
      <c r="KT25" s="103"/>
      <c r="KU25" s="103"/>
      <c r="KV25" s="103"/>
      <c r="KW25" s="103"/>
      <c r="KX25" s="103"/>
      <c r="KY25" s="103"/>
      <c r="KZ25" s="103"/>
      <c r="LA25" s="103"/>
      <c r="LB25" s="103"/>
      <c r="LC25" s="103"/>
      <c r="LD25" s="103"/>
      <c r="LE25" s="103"/>
      <c r="LF25" s="103"/>
      <c r="LG25" s="103"/>
      <c r="LH25" s="103"/>
      <c r="LI25" s="103"/>
      <c r="LJ25" s="103"/>
      <c r="LK25" s="103"/>
      <c r="LL25" s="103"/>
      <c r="LM25" s="103"/>
      <c r="LN25" s="103"/>
      <c r="LO25" s="103"/>
      <c r="LP25" s="103"/>
      <c r="LQ25" s="103"/>
      <c r="LR25" s="103"/>
      <c r="LS25" s="103"/>
      <c r="LT25" s="103"/>
      <c r="LU25" s="103"/>
      <c r="LV25" s="103"/>
      <c r="LW25" s="103"/>
      <c r="LX25" s="103"/>
      <c r="LY25" s="103"/>
      <c r="LZ25" s="103"/>
      <c r="MA25" s="103"/>
      <c r="MB25" s="103"/>
      <c r="MC25" s="103"/>
      <c r="MD25" s="103"/>
      <c r="ME25" s="103"/>
      <c r="MF25" s="103"/>
      <c r="MG25" s="103"/>
      <c r="MH25" s="103"/>
      <c r="MI25" s="103"/>
      <c r="MJ25" s="103"/>
      <c r="MK25" s="103"/>
      <c r="ML25" s="103"/>
      <c r="MM25" s="103"/>
      <c r="MN25" s="103"/>
      <c r="MO25" s="103"/>
      <c r="MP25" s="103"/>
      <c r="MQ25" s="103"/>
      <c r="MR25" s="103"/>
      <c r="MS25" s="103"/>
      <c r="MT25" s="103"/>
      <c r="MU25" s="103"/>
      <c r="MV25" s="103"/>
      <c r="MW25" s="103"/>
      <c r="MX25" s="103"/>
      <c r="MY25" s="104"/>
    </row>
    <row r="26" spans="2:363" ht="19.5" customHeight="1" thickBot="1" x14ac:dyDescent="0.25">
      <c r="B26" s="48" t="s">
        <v>17</v>
      </c>
      <c r="C26" s="50">
        <f>SUM($C$4,$C$6,$C$8,$C$10,$C$12,$C$14,$C$16,$C$18,$C$20,$C$22,$C$24)</f>
        <v>0</v>
      </c>
      <c r="D26" s="105"/>
      <c r="E26" s="106"/>
      <c r="F26" s="106"/>
      <c r="G26" s="106"/>
      <c r="H26" s="106"/>
      <c r="I26" s="106"/>
      <c r="J26" s="106"/>
      <c r="K26" s="106"/>
      <c r="L26" s="106"/>
      <c r="M26" s="106"/>
      <c r="N26" s="106"/>
      <c r="O26" s="106"/>
      <c r="P26" s="106"/>
      <c r="Q26" s="106"/>
      <c r="R26" s="106"/>
      <c r="S26" s="106"/>
      <c r="T26" s="106"/>
      <c r="U26" s="106"/>
      <c r="V26" s="106"/>
      <c r="W26" s="106"/>
      <c r="X26" s="106"/>
      <c r="Y26" s="106"/>
      <c r="Z26" s="106"/>
      <c r="AA26" s="106"/>
      <c r="AB26" s="106"/>
      <c r="AC26" s="106"/>
      <c r="AD26" s="106"/>
      <c r="AE26" s="106"/>
      <c r="AF26" s="106"/>
      <c r="AG26" s="106"/>
      <c r="AH26" s="106"/>
      <c r="AI26" s="106"/>
      <c r="AJ26" s="106"/>
      <c r="AK26" s="106"/>
      <c r="AL26" s="106"/>
      <c r="AM26" s="106"/>
      <c r="AN26" s="106"/>
      <c r="AO26" s="106"/>
      <c r="AP26" s="106"/>
      <c r="AQ26" s="106"/>
      <c r="AR26" s="106"/>
      <c r="AS26" s="106"/>
      <c r="AT26" s="106"/>
      <c r="AU26" s="106"/>
      <c r="AV26" s="106"/>
      <c r="AW26" s="106"/>
      <c r="AX26" s="106"/>
      <c r="AY26" s="106"/>
      <c r="AZ26" s="106"/>
      <c r="BA26" s="106"/>
      <c r="BB26" s="106"/>
      <c r="BC26" s="106"/>
      <c r="BD26" s="106"/>
      <c r="BE26" s="106"/>
      <c r="BF26" s="106"/>
      <c r="BG26" s="106"/>
      <c r="BH26" s="106"/>
      <c r="BI26" s="106"/>
      <c r="BJ26" s="106"/>
      <c r="BK26" s="106"/>
      <c r="BL26" s="106"/>
      <c r="BM26" s="106"/>
      <c r="BN26" s="106"/>
      <c r="BO26" s="106"/>
      <c r="BP26" s="106"/>
      <c r="BQ26" s="106"/>
      <c r="BR26" s="106"/>
      <c r="BS26" s="106"/>
      <c r="BT26" s="106"/>
      <c r="BU26" s="106"/>
      <c r="BV26" s="106"/>
      <c r="BW26" s="106"/>
      <c r="BX26" s="106"/>
      <c r="BY26" s="106"/>
      <c r="BZ26" s="106"/>
      <c r="CA26" s="106"/>
      <c r="CB26" s="106"/>
      <c r="CC26" s="106"/>
      <c r="CD26" s="106"/>
      <c r="CE26" s="106"/>
      <c r="CF26" s="106"/>
      <c r="CG26" s="106"/>
      <c r="CH26" s="106"/>
      <c r="CI26" s="106"/>
      <c r="CJ26" s="106"/>
      <c r="CK26" s="106"/>
      <c r="CL26" s="106"/>
      <c r="CM26" s="106"/>
      <c r="CN26" s="106"/>
      <c r="CO26" s="107"/>
      <c r="CP26" s="105"/>
      <c r="CQ26" s="106"/>
      <c r="CR26" s="106"/>
      <c r="CS26" s="106"/>
      <c r="CT26" s="106"/>
      <c r="CU26" s="106"/>
      <c r="CV26" s="106"/>
      <c r="CW26" s="106"/>
      <c r="CX26" s="106"/>
      <c r="CY26" s="106"/>
      <c r="CZ26" s="106"/>
      <c r="DA26" s="106"/>
      <c r="DB26" s="106"/>
      <c r="DC26" s="106"/>
      <c r="DD26" s="106"/>
      <c r="DE26" s="106"/>
      <c r="DF26" s="106"/>
      <c r="DG26" s="106"/>
      <c r="DH26" s="106"/>
      <c r="DI26" s="106"/>
      <c r="DJ26" s="106"/>
      <c r="DK26" s="106"/>
      <c r="DL26" s="106"/>
      <c r="DM26" s="106"/>
      <c r="DN26" s="106"/>
      <c r="DO26" s="106"/>
      <c r="DP26" s="106"/>
      <c r="DQ26" s="106"/>
      <c r="DR26" s="106"/>
      <c r="DS26" s="106"/>
      <c r="DT26" s="106"/>
      <c r="DU26" s="106"/>
      <c r="DV26" s="106"/>
      <c r="DW26" s="106"/>
      <c r="DX26" s="106"/>
      <c r="DY26" s="106"/>
      <c r="DZ26" s="106"/>
      <c r="EA26" s="106"/>
      <c r="EB26" s="106"/>
      <c r="EC26" s="106"/>
      <c r="ED26" s="106"/>
      <c r="EE26" s="106"/>
      <c r="EF26" s="106"/>
      <c r="EG26" s="106"/>
      <c r="EH26" s="106"/>
      <c r="EI26" s="106"/>
      <c r="EJ26" s="106"/>
      <c r="EK26" s="106"/>
      <c r="EL26" s="106"/>
      <c r="EM26" s="106"/>
      <c r="EN26" s="106"/>
      <c r="EO26" s="106"/>
      <c r="EP26" s="106"/>
      <c r="EQ26" s="106"/>
      <c r="ER26" s="106"/>
      <c r="ES26" s="106"/>
      <c r="ET26" s="106"/>
      <c r="EU26" s="106"/>
      <c r="EV26" s="106"/>
      <c r="EW26" s="106"/>
      <c r="EX26" s="106"/>
      <c r="EY26" s="106"/>
      <c r="EZ26" s="106"/>
      <c r="FA26" s="106"/>
      <c r="FB26" s="106"/>
      <c r="FC26" s="106"/>
      <c r="FD26" s="106"/>
      <c r="FE26" s="106"/>
      <c r="FF26" s="106"/>
      <c r="FG26" s="106"/>
      <c r="FH26" s="106"/>
      <c r="FI26" s="106"/>
      <c r="FJ26" s="106"/>
      <c r="FK26" s="106"/>
      <c r="FL26" s="106"/>
      <c r="FM26" s="106"/>
      <c r="FN26" s="106"/>
      <c r="FO26" s="106"/>
      <c r="FP26" s="106"/>
      <c r="FQ26" s="106"/>
      <c r="FR26" s="106"/>
      <c r="FS26" s="106"/>
      <c r="FT26" s="106"/>
      <c r="FU26" s="106"/>
      <c r="FV26" s="106"/>
      <c r="FW26" s="106"/>
      <c r="FX26" s="106"/>
      <c r="FY26" s="106"/>
      <c r="FZ26" s="106"/>
      <c r="GA26" s="107"/>
      <c r="GB26" s="105"/>
      <c r="GC26" s="106"/>
      <c r="GD26" s="106"/>
      <c r="GE26" s="106"/>
      <c r="GF26" s="106"/>
      <c r="GG26" s="106"/>
      <c r="GH26" s="106"/>
      <c r="GI26" s="106"/>
      <c r="GJ26" s="106"/>
      <c r="GK26" s="106"/>
      <c r="GL26" s="106"/>
      <c r="GM26" s="106"/>
      <c r="GN26" s="106"/>
      <c r="GO26" s="106"/>
      <c r="GP26" s="106"/>
      <c r="GQ26" s="106"/>
      <c r="GR26" s="106"/>
      <c r="GS26" s="106"/>
      <c r="GT26" s="106"/>
      <c r="GU26" s="106"/>
      <c r="GV26" s="106"/>
      <c r="GW26" s="106"/>
      <c r="GX26" s="106"/>
      <c r="GY26" s="106"/>
      <c r="GZ26" s="106"/>
      <c r="HA26" s="106"/>
      <c r="HB26" s="106"/>
      <c r="HC26" s="106"/>
      <c r="HD26" s="106"/>
      <c r="HE26" s="106"/>
      <c r="HF26" s="106"/>
      <c r="HG26" s="106"/>
      <c r="HH26" s="106"/>
      <c r="HI26" s="106"/>
      <c r="HJ26" s="106"/>
      <c r="HK26" s="106"/>
      <c r="HL26" s="106"/>
      <c r="HM26" s="106"/>
      <c r="HN26" s="106"/>
      <c r="HO26" s="106"/>
      <c r="HP26" s="106"/>
      <c r="HQ26" s="106"/>
      <c r="HR26" s="106"/>
      <c r="HS26" s="106"/>
      <c r="HT26" s="106"/>
      <c r="HU26" s="106"/>
      <c r="HV26" s="106"/>
      <c r="HW26" s="106"/>
      <c r="HX26" s="106"/>
      <c r="HY26" s="106"/>
      <c r="HZ26" s="106"/>
      <c r="IA26" s="106"/>
      <c r="IB26" s="106"/>
      <c r="IC26" s="106"/>
      <c r="ID26" s="106"/>
      <c r="IE26" s="106"/>
      <c r="IF26" s="106"/>
      <c r="IG26" s="106"/>
      <c r="IH26" s="106"/>
      <c r="II26" s="106"/>
      <c r="IJ26" s="106"/>
      <c r="IK26" s="106"/>
      <c r="IL26" s="106"/>
      <c r="IM26" s="106"/>
      <c r="IN26" s="106"/>
      <c r="IO26" s="106"/>
      <c r="IP26" s="106"/>
      <c r="IQ26" s="106"/>
      <c r="IR26" s="106"/>
      <c r="IS26" s="106"/>
      <c r="IT26" s="106"/>
      <c r="IU26" s="106"/>
      <c r="IV26" s="106"/>
      <c r="IW26" s="106"/>
      <c r="IX26" s="106"/>
      <c r="IY26" s="106"/>
      <c r="IZ26" s="106"/>
      <c r="JA26" s="106"/>
      <c r="JB26" s="106"/>
      <c r="JC26" s="106"/>
      <c r="JD26" s="106"/>
      <c r="JE26" s="106"/>
      <c r="JF26" s="106"/>
      <c r="JG26" s="106"/>
      <c r="JH26" s="106"/>
      <c r="JI26" s="106"/>
      <c r="JJ26" s="106"/>
      <c r="JK26" s="106"/>
      <c r="JL26" s="106"/>
      <c r="JM26" s="107"/>
      <c r="JN26" s="105"/>
      <c r="JO26" s="106"/>
      <c r="JP26" s="106"/>
      <c r="JQ26" s="106"/>
      <c r="JR26" s="106"/>
      <c r="JS26" s="106"/>
      <c r="JT26" s="106"/>
      <c r="JU26" s="106"/>
      <c r="JV26" s="106"/>
      <c r="JW26" s="106"/>
      <c r="JX26" s="106"/>
      <c r="JY26" s="106"/>
      <c r="JZ26" s="106"/>
      <c r="KA26" s="106"/>
      <c r="KB26" s="106"/>
      <c r="KC26" s="106"/>
      <c r="KD26" s="106"/>
      <c r="KE26" s="106"/>
      <c r="KF26" s="106"/>
      <c r="KG26" s="106"/>
      <c r="KH26" s="106"/>
      <c r="KI26" s="106"/>
      <c r="KJ26" s="106"/>
      <c r="KK26" s="106"/>
      <c r="KL26" s="106"/>
      <c r="KM26" s="106"/>
      <c r="KN26" s="106"/>
      <c r="KO26" s="106"/>
      <c r="KP26" s="106"/>
      <c r="KQ26" s="106"/>
      <c r="KR26" s="106"/>
      <c r="KS26" s="106"/>
      <c r="KT26" s="106"/>
      <c r="KU26" s="106"/>
      <c r="KV26" s="106"/>
      <c r="KW26" s="106"/>
      <c r="KX26" s="106"/>
      <c r="KY26" s="106"/>
      <c r="KZ26" s="106"/>
      <c r="LA26" s="106"/>
      <c r="LB26" s="106"/>
      <c r="LC26" s="106"/>
      <c r="LD26" s="106"/>
      <c r="LE26" s="106"/>
      <c r="LF26" s="106"/>
      <c r="LG26" s="106"/>
      <c r="LH26" s="106"/>
      <c r="LI26" s="106"/>
      <c r="LJ26" s="106"/>
      <c r="LK26" s="106"/>
      <c r="LL26" s="106"/>
      <c r="LM26" s="106"/>
      <c r="LN26" s="106"/>
      <c r="LO26" s="106"/>
      <c r="LP26" s="106"/>
      <c r="LQ26" s="106"/>
      <c r="LR26" s="106"/>
      <c r="LS26" s="106"/>
      <c r="LT26" s="106"/>
      <c r="LU26" s="106"/>
      <c r="LV26" s="106"/>
      <c r="LW26" s="106"/>
      <c r="LX26" s="106"/>
      <c r="LY26" s="106"/>
      <c r="LZ26" s="106"/>
      <c r="MA26" s="106"/>
      <c r="MB26" s="106"/>
      <c r="MC26" s="106"/>
      <c r="MD26" s="106"/>
      <c r="ME26" s="106"/>
      <c r="MF26" s="106"/>
      <c r="MG26" s="106"/>
      <c r="MH26" s="106"/>
      <c r="MI26" s="106"/>
      <c r="MJ26" s="106"/>
      <c r="MK26" s="106"/>
      <c r="ML26" s="106"/>
      <c r="MM26" s="106"/>
      <c r="MN26" s="106"/>
      <c r="MO26" s="106"/>
      <c r="MP26" s="106"/>
      <c r="MQ26" s="106"/>
      <c r="MR26" s="106"/>
      <c r="MS26" s="106"/>
      <c r="MT26" s="106"/>
      <c r="MU26" s="106"/>
      <c r="MV26" s="106"/>
      <c r="MW26" s="106"/>
      <c r="MX26" s="106"/>
      <c r="MY26" s="107"/>
    </row>
  </sheetData>
  <sheetProtection sheet="1" objects="1" scenarios="1" insertRows="0" selectLockedCells="1"/>
  <mergeCells count="15">
    <mergeCell ref="CP2:GA2"/>
    <mergeCell ref="GB2:JM2"/>
    <mergeCell ref="JN2:MY2"/>
    <mergeCell ref="B15:B16"/>
    <mergeCell ref="B17:B18"/>
    <mergeCell ref="B19:B20"/>
    <mergeCell ref="B21:B22"/>
    <mergeCell ref="B23:B24"/>
    <mergeCell ref="D2:CO2"/>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2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67" t="s">
        <v>21</v>
      </c>
      <c r="C3" s="30">
        <v>0</v>
      </c>
    </row>
    <row r="4" spans="1:4" ht="19.5" customHeight="1" x14ac:dyDescent="0.2">
      <c r="A4" s="34"/>
      <c r="B4" s="170"/>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J105"/>
  <sheetViews>
    <sheetView tabSelected="1" view="pageBreakPreview" topLeftCell="A3" zoomScale="60" zoomScaleNormal="100" workbookViewId="0">
      <selection activeCell="E34" sqref="E34"/>
    </sheetView>
  </sheetViews>
  <sheetFormatPr baseColWidth="10" defaultColWidth="11.42578125" defaultRowHeight="12.75" x14ac:dyDescent="0.2"/>
  <cols>
    <col min="1" max="1" width="21.42578125" style="51" customWidth="1"/>
    <col min="2" max="2" width="8.5703125" style="51" customWidth="1"/>
    <col min="3" max="3" width="21.85546875" style="51" bestFit="1" customWidth="1"/>
    <col min="4" max="4" width="87" style="51" customWidth="1"/>
    <col min="5" max="5" width="44.28515625" style="51" customWidth="1"/>
    <col min="6" max="16384" width="11.42578125" style="51"/>
  </cols>
  <sheetData>
    <row r="1" spans="1:5" ht="18.75" thickBot="1" x14ac:dyDescent="0.25">
      <c r="A1" s="71" t="s">
        <v>14</v>
      </c>
      <c r="B1" s="72">
        <v>1</v>
      </c>
      <c r="C1" s="72"/>
      <c r="D1" s="73" t="s">
        <v>23</v>
      </c>
      <c r="E1" s="82">
        <v>42884</v>
      </c>
    </row>
    <row r="2" spans="1:5" ht="27.75" thickBot="1" x14ac:dyDescent="0.25">
      <c r="A2" s="74" t="s">
        <v>3</v>
      </c>
      <c r="B2" s="75" t="s">
        <v>15</v>
      </c>
      <c r="C2" s="75" t="s">
        <v>43</v>
      </c>
      <c r="D2" s="74" t="s">
        <v>7</v>
      </c>
      <c r="E2" s="74" t="s">
        <v>13</v>
      </c>
    </row>
    <row r="3" spans="1:5" s="81" customFormat="1" ht="13.5" x14ac:dyDescent="0.2">
      <c r="A3" s="9"/>
      <c r="B3" s="8"/>
      <c r="C3" s="117" t="s">
        <v>49</v>
      </c>
      <c r="D3" s="13"/>
      <c r="E3" s="13"/>
    </row>
    <row r="4" spans="1:5" s="81" customFormat="1" ht="13.5" x14ac:dyDescent="0.2">
      <c r="A4" s="114" t="s">
        <v>21</v>
      </c>
      <c r="B4" s="115">
        <v>1</v>
      </c>
      <c r="C4" s="120"/>
      <c r="D4" s="116" t="s">
        <v>44</v>
      </c>
      <c r="E4" s="14"/>
    </row>
    <row r="5" spans="1:5" s="81" customFormat="1" ht="13.5" x14ac:dyDescent="0.2">
      <c r="A5" s="5" t="s">
        <v>21</v>
      </c>
      <c r="B5" s="6">
        <v>3</v>
      </c>
      <c r="C5" s="121"/>
      <c r="D5" s="14" t="s">
        <v>45</v>
      </c>
      <c r="E5" s="14"/>
    </row>
    <row r="6" spans="1:5" s="81" customFormat="1" ht="27" x14ac:dyDescent="0.2">
      <c r="A6" s="79" t="s">
        <v>28</v>
      </c>
      <c r="B6" s="79">
        <v>6</v>
      </c>
      <c r="C6" s="132"/>
      <c r="D6" s="80" t="s">
        <v>48</v>
      </c>
      <c r="E6" s="133" t="s">
        <v>46</v>
      </c>
    </row>
    <row r="7" spans="1:5" s="81" customFormat="1" ht="13.5" x14ac:dyDescent="0.2">
      <c r="A7" s="110"/>
      <c r="B7" s="110"/>
      <c r="C7" s="131"/>
      <c r="D7" s="111"/>
      <c r="E7" s="130" t="s">
        <v>47</v>
      </c>
    </row>
    <row r="8" spans="1:5" s="81" customFormat="1" ht="27" x14ac:dyDescent="0.2">
      <c r="A8" s="110" t="s">
        <v>35</v>
      </c>
      <c r="B8" s="110">
        <v>3</v>
      </c>
      <c r="C8" s="131"/>
      <c r="D8" s="111" t="s">
        <v>53</v>
      </c>
      <c r="E8" s="130" t="s">
        <v>54</v>
      </c>
    </row>
    <row r="9" spans="1:5" s="81" customFormat="1" ht="27" x14ac:dyDescent="0.2">
      <c r="A9" s="6" t="s">
        <v>35</v>
      </c>
      <c r="B9" s="6">
        <v>11</v>
      </c>
      <c r="C9" s="121"/>
      <c r="D9" s="14" t="s">
        <v>55</v>
      </c>
      <c r="E9" s="14"/>
    </row>
    <row r="10" spans="1:5" s="81" customFormat="1" ht="13.5" x14ac:dyDescent="0.2">
      <c r="A10" s="79" t="s">
        <v>34</v>
      </c>
      <c r="B10" s="79">
        <v>1</v>
      </c>
      <c r="C10" s="121"/>
      <c r="D10" s="80" t="s">
        <v>63</v>
      </c>
      <c r="E10" s="80"/>
    </row>
    <row r="11" spans="1:5" s="81" customFormat="1" ht="13.5" x14ac:dyDescent="0.2">
      <c r="A11" s="79" t="s">
        <v>36</v>
      </c>
      <c r="B11" s="79">
        <v>2</v>
      </c>
      <c r="C11" s="120"/>
      <c r="D11" s="80" t="s">
        <v>59</v>
      </c>
      <c r="E11" s="80"/>
    </row>
    <row r="12" spans="1:5" s="81" customFormat="1" ht="13.5" x14ac:dyDescent="0.2">
      <c r="A12" s="122"/>
      <c r="B12" s="123"/>
      <c r="C12" s="124" t="s">
        <v>50</v>
      </c>
      <c r="D12" s="125"/>
      <c r="E12" s="126"/>
    </row>
    <row r="13" spans="1:5" s="81" customFormat="1" ht="27" x14ac:dyDescent="0.2">
      <c r="A13" s="137" t="s">
        <v>35</v>
      </c>
      <c r="B13" s="6">
        <v>3</v>
      </c>
      <c r="C13" s="138"/>
      <c r="D13" s="14" t="s">
        <v>56</v>
      </c>
      <c r="E13" s="129" t="s">
        <v>54</v>
      </c>
    </row>
    <row r="14" spans="1:5" s="81" customFormat="1" ht="13.5" x14ac:dyDescent="0.2">
      <c r="A14" s="140" t="s">
        <v>21</v>
      </c>
      <c r="B14" s="6">
        <v>3</v>
      </c>
      <c r="C14" s="138"/>
      <c r="D14" s="14" t="s">
        <v>89</v>
      </c>
      <c r="E14" s="145"/>
    </row>
    <row r="15" spans="1:5" s="81" customFormat="1" ht="13.5" x14ac:dyDescent="0.2">
      <c r="A15" s="142" t="s">
        <v>30</v>
      </c>
      <c r="B15" s="115">
        <v>4</v>
      </c>
      <c r="C15" s="135"/>
      <c r="D15" s="116" t="s">
        <v>90</v>
      </c>
      <c r="E15" s="136"/>
    </row>
    <row r="16" spans="1:5" s="81" customFormat="1" ht="13.5" x14ac:dyDescent="0.2">
      <c r="A16" s="140" t="s">
        <v>34</v>
      </c>
      <c r="B16" s="6">
        <v>1</v>
      </c>
      <c r="C16" s="138"/>
      <c r="D16" s="14" t="s">
        <v>63</v>
      </c>
      <c r="E16" s="145"/>
    </row>
    <row r="17" spans="1:5" s="81" customFormat="1" ht="13.5" x14ac:dyDescent="0.2">
      <c r="A17" s="127" t="s">
        <v>36</v>
      </c>
      <c r="B17" s="112">
        <v>1</v>
      </c>
      <c r="C17" s="119"/>
      <c r="D17" s="113" t="s">
        <v>59</v>
      </c>
      <c r="E17" s="128"/>
    </row>
    <row r="18" spans="1:5" s="81" customFormat="1" ht="13.5" x14ac:dyDescent="0.2">
      <c r="A18" s="109"/>
      <c r="B18" s="110"/>
      <c r="C18" s="118" t="s">
        <v>51</v>
      </c>
      <c r="D18" s="111"/>
      <c r="E18" s="111"/>
    </row>
    <row r="19" spans="1:5" s="81" customFormat="1" ht="13.5" x14ac:dyDescent="0.2">
      <c r="A19" s="114" t="s">
        <v>21</v>
      </c>
      <c r="B19" s="115">
        <v>4</v>
      </c>
      <c r="C19" s="135"/>
      <c r="D19" s="116" t="s">
        <v>91</v>
      </c>
      <c r="E19" s="116"/>
    </row>
    <row r="20" spans="1:5" s="81" customFormat="1" ht="38.25" x14ac:dyDescent="0.2">
      <c r="A20" s="140" t="s">
        <v>28</v>
      </c>
      <c r="B20" s="6">
        <v>4</v>
      </c>
      <c r="C20" s="138"/>
      <c r="D20" s="14" t="s">
        <v>92</v>
      </c>
      <c r="E20" s="145" t="s">
        <v>93</v>
      </c>
    </row>
    <row r="21" spans="1:5" s="81" customFormat="1" ht="13.5" x14ac:dyDescent="0.2">
      <c r="A21" s="142" t="s">
        <v>29</v>
      </c>
      <c r="B21" s="79">
        <v>3</v>
      </c>
      <c r="C21" s="143"/>
      <c r="D21" s="80" t="s">
        <v>94</v>
      </c>
      <c r="E21" s="144"/>
    </row>
    <row r="22" spans="1:5" s="81" customFormat="1" ht="13.5" x14ac:dyDescent="0.2">
      <c r="A22" s="142" t="s">
        <v>30</v>
      </c>
      <c r="B22" s="79">
        <v>4</v>
      </c>
      <c r="C22" s="143"/>
      <c r="D22" s="14" t="s">
        <v>95</v>
      </c>
      <c r="E22" s="157"/>
    </row>
    <row r="23" spans="1:5" s="81" customFormat="1" ht="27" x14ac:dyDescent="0.2">
      <c r="A23" s="142" t="s">
        <v>30</v>
      </c>
      <c r="B23" s="79">
        <v>5</v>
      </c>
      <c r="C23" s="143"/>
      <c r="D23" s="80" t="s">
        <v>96</v>
      </c>
      <c r="E23" s="157"/>
    </row>
    <row r="24" spans="1:5" s="81" customFormat="1" ht="13.5" x14ac:dyDescent="0.2">
      <c r="A24" s="142" t="s">
        <v>29</v>
      </c>
      <c r="B24" s="79">
        <v>3</v>
      </c>
      <c r="C24" s="143"/>
      <c r="D24" s="80" t="s">
        <v>99</v>
      </c>
      <c r="E24" s="157"/>
    </row>
    <row r="25" spans="1:5" s="81" customFormat="1" ht="38.25" x14ac:dyDescent="0.2">
      <c r="A25" s="142" t="s">
        <v>28</v>
      </c>
      <c r="B25" s="79">
        <v>4</v>
      </c>
      <c r="C25" s="143"/>
      <c r="D25" s="80" t="s">
        <v>97</v>
      </c>
      <c r="E25" s="158" t="s">
        <v>98</v>
      </c>
    </row>
    <row r="26" spans="1:5" s="81" customFormat="1" ht="13.5" x14ac:dyDescent="0.2">
      <c r="A26" s="140" t="s">
        <v>34</v>
      </c>
      <c r="B26" s="6">
        <v>1</v>
      </c>
      <c r="C26" s="138"/>
      <c r="D26" s="14" t="s">
        <v>63</v>
      </c>
      <c r="E26" s="157"/>
    </row>
    <row r="27" spans="1:5" s="81" customFormat="1" ht="13.5" x14ac:dyDescent="0.2">
      <c r="A27" s="127" t="s">
        <v>36</v>
      </c>
      <c r="B27" s="112">
        <v>1</v>
      </c>
      <c r="C27" s="119"/>
      <c r="D27" s="113" t="s">
        <v>59</v>
      </c>
      <c r="E27" s="113"/>
    </row>
    <row r="28" spans="1:5" s="81" customFormat="1" ht="13.5" x14ac:dyDescent="0.2">
      <c r="A28" s="110"/>
      <c r="B28" s="110"/>
      <c r="C28" s="118" t="s">
        <v>52</v>
      </c>
      <c r="D28" s="111"/>
      <c r="E28" s="111"/>
    </row>
    <row r="29" spans="1:5" s="81" customFormat="1" ht="40.5" x14ac:dyDescent="0.2">
      <c r="A29" s="6" t="s">
        <v>28</v>
      </c>
      <c r="B29" s="6">
        <v>12</v>
      </c>
      <c r="C29" s="121"/>
      <c r="D29" s="14" t="s">
        <v>100</v>
      </c>
      <c r="E29" s="129" t="s">
        <v>104</v>
      </c>
    </row>
    <row r="30" spans="1:5" s="156" customFormat="1" ht="40.5" x14ac:dyDescent="0.2">
      <c r="A30" s="146" t="s">
        <v>30</v>
      </c>
      <c r="B30" s="79"/>
      <c r="C30" s="132"/>
      <c r="D30" s="14" t="s">
        <v>101</v>
      </c>
      <c r="E30" s="80"/>
    </row>
    <row r="31" spans="1:5" s="156" customFormat="1" ht="27" x14ac:dyDescent="0.2">
      <c r="A31" s="146" t="s">
        <v>29</v>
      </c>
      <c r="B31" s="79">
        <v>3</v>
      </c>
      <c r="C31" s="132"/>
      <c r="D31" s="14" t="s">
        <v>102</v>
      </c>
      <c r="E31" s="80"/>
    </row>
    <row r="32" spans="1:5" s="81" customFormat="1" ht="25.5" x14ac:dyDescent="0.2">
      <c r="A32" s="6" t="s">
        <v>28</v>
      </c>
      <c r="B32" s="6">
        <v>12</v>
      </c>
      <c r="C32" s="121"/>
      <c r="D32" s="14" t="s">
        <v>103</v>
      </c>
      <c r="E32" s="129" t="s">
        <v>104</v>
      </c>
    </row>
    <row r="33" spans="1:10" s="156" customFormat="1" ht="40.5" x14ac:dyDescent="0.2">
      <c r="A33" s="146" t="s">
        <v>30</v>
      </c>
      <c r="B33" s="79"/>
      <c r="C33" s="132"/>
      <c r="D33" s="14" t="s">
        <v>101</v>
      </c>
      <c r="E33" s="80"/>
    </row>
    <row r="34" spans="1:10" s="81" customFormat="1" ht="13.5" x14ac:dyDescent="0.2">
      <c r="A34" s="159" t="s">
        <v>21</v>
      </c>
      <c r="B34" s="6">
        <v>3</v>
      </c>
      <c r="C34" s="121"/>
      <c r="D34" s="14" t="s">
        <v>105</v>
      </c>
      <c r="E34" s="80"/>
    </row>
    <row r="35" spans="1:10" s="81" customFormat="1" ht="13.5" x14ac:dyDescent="0.2">
      <c r="A35" s="134" t="s">
        <v>34</v>
      </c>
      <c r="B35" s="115">
        <v>1</v>
      </c>
      <c r="C35" s="135"/>
      <c r="D35" s="116" t="s">
        <v>63</v>
      </c>
      <c r="E35" s="14"/>
    </row>
    <row r="36" spans="1:10" ht="14.25" thickBot="1" x14ac:dyDescent="0.25">
      <c r="A36" s="127" t="s">
        <v>36</v>
      </c>
      <c r="B36" s="112">
        <v>1</v>
      </c>
      <c r="C36" s="119"/>
      <c r="D36" s="113" t="s">
        <v>59</v>
      </c>
      <c r="E36" s="15"/>
    </row>
    <row r="37" spans="1:10" ht="14.25" thickBot="1" x14ac:dyDescent="0.25">
      <c r="A37" s="76" t="s">
        <v>22</v>
      </c>
      <c r="B37" s="76">
        <f>SUM(B3:B36)</f>
        <v>100</v>
      </c>
      <c r="C37" s="155"/>
      <c r="D37" s="83" t="s">
        <v>37</v>
      </c>
      <c r="E37" s="77"/>
    </row>
    <row r="38" spans="1:10" ht="15" thickBot="1" x14ac:dyDescent="0.35">
      <c r="A38" s="78"/>
      <c r="B38" s="78"/>
      <c r="C38" s="78"/>
      <c r="D38" s="78"/>
      <c r="E38" s="78"/>
    </row>
    <row r="39" spans="1:10" ht="18.75" thickBot="1" x14ac:dyDescent="0.25">
      <c r="A39" s="71" t="s">
        <v>14</v>
      </c>
      <c r="B39" s="72">
        <v>2</v>
      </c>
      <c r="C39" s="72"/>
      <c r="D39" s="73" t="s">
        <v>23</v>
      </c>
      <c r="E39" s="82">
        <v>42891</v>
      </c>
    </row>
    <row r="40" spans="1:10" ht="27.75" thickBot="1" x14ac:dyDescent="0.25">
      <c r="A40" s="74" t="s">
        <v>3</v>
      </c>
      <c r="B40" s="75" t="s">
        <v>15</v>
      </c>
      <c r="C40" s="75" t="s">
        <v>43</v>
      </c>
      <c r="D40" s="74" t="s">
        <v>7</v>
      </c>
      <c r="E40" s="74" t="s">
        <v>13</v>
      </c>
    </row>
    <row r="41" spans="1:10" ht="13.5" x14ac:dyDescent="0.2">
      <c r="A41" s="9"/>
      <c r="B41" s="8"/>
      <c r="C41" s="117" t="s">
        <v>49</v>
      </c>
      <c r="D41" s="13"/>
      <c r="E41" s="13"/>
    </row>
    <row r="42" spans="1:10" ht="13.5" x14ac:dyDescent="0.2">
      <c r="A42" s="114"/>
      <c r="B42" s="115"/>
      <c r="C42" s="120"/>
      <c r="D42" s="116"/>
      <c r="E42" s="14"/>
    </row>
    <row r="43" spans="1:10" ht="13.5" x14ac:dyDescent="0.2">
      <c r="A43" s="5"/>
      <c r="B43" s="6"/>
      <c r="C43" s="121"/>
      <c r="D43" s="14"/>
      <c r="E43" s="14"/>
    </row>
    <row r="44" spans="1:10" ht="13.5" x14ac:dyDescent="0.2">
      <c r="A44" s="79"/>
      <c r="B44" s="79"/>
      <c r="C44" s="132"/>
      <c r="D44" s="80"/>
      <c r="E44" s="133"/>
    </row>
    <row r="45" spans="1:10" ht="13.5" x14ac:dyDescent="0.2">
      <c r="A45" s="110"/>
      <c r="B45" s="110"/>
      <c r="C45" s="131"/>
      <c r="D45" s="111"/>
      <c r="E45" s="130"/>
    </row>
    <row r="46" spans="1:10" ht="12.75" customHeight="1" x14ac:dyDescent="0.2">
      <c r="A46" s="110"/>
      <c r="B46" s="110"/>
      <c r="C46" s="131"/>
      <c r="D46" s="111"/>
      <c r="E46" s="130"/>
      <c r="F46" s="37"/>
      <c r="G46" s="54"/>
      <c r="H46" s="55"/>
      <c r="I46" s="56"/>
      <c r="J46" s="37"/>
    </row>
    <row r="47" spans="1:10" ht="12.75" customHeight="1" x14ac:dyDescent="0.2">
      <c r="A47" s="6"/>
      <c r="B47" s="6"/>
      <c r="C47" s="121"/>
      <c r="D47" s="14"/>
      <c r="E47" s="14"/>
      <c r="F47" s="37"/>
      <c r="G47" s="54"/>
      <c r="H47" s="55"/>
      <c r="I47" s="56"/>
      <c r="J47" s="37"/>
    </row>
    <row r="48" spans="1:10" ht="12.75" customHeight="1" x14ac:dyDescent="0.2">
      <c r="A48" s="134" t="s">
        <v>34</v>
      </c>
      <c r="B48" s="115">
        <v>1</v>
      </c>
      <c r="C48" s="135"/>
      <c r="D48" s="116" t="s">
        <v>63</v>
      </c>
      <c r="E48" s="80"/>
      <c r="F48" s="37"/>
      <c r="G48" s="54"/>
      <c r="H48" s="55"/>
      <c r="I48" s="56"/>
      <c r="J48" s="37"/>
    </row>
    <row r="49" spans="1:10" ht="15" x14ac:dyDescent="0.2">
      <c r="A49" s="127" t="s">
        <v>36</v>
      </c>
      <c r="B49" s="112">
        <v>1</v>
      </c>
      <c r="C49" s="119"/>
      <c r="D49" s="113" t="s">
        <v>59</v>
      </c>
      <c r="E49" s="80"/>
      <c r="F49" s="37"/>
      <c r="G49" s="57"/>
      <c r="H49" s="53"/>
      <c r="I49" s="53"/>
      <c r="J49" s="37"/>
    </row>
    <row r="50" spans="1:10" ht="15" x14ac:dyDescent="0.2">
      <c r="A50" s="122"/>
      <c r="B50" s="123"/>
      <c r="C50" s="124" t="s">
        <v>50</v>
      </c>
      <c r="D50" s="125"/>
      <c r="E50" s="126"/>
      <c r="F50" s="37"/>
      <c r="G50" s="57"/>
      <c r="H50" s="53"/>
      <c r="I50" s="53"/>
      <c r="J50" s="37"/>
    </row>
    <row r="51" spans="1:10" ht="15" x14ac:dyDescent="0.2">
      <c r="A51" s="137"/>
      <c r="B51" s="6"/>
      <c r="C51" s="138"/>
      <c r="D51" s="14"/>
      <c r="E51" s="129"/>
      <c r="F51" s="37"/>
      <c r="G51" s="57"/>
      <c r="H51" s="53"/>
      <c r="I51" s="53"/>
      <c r="J51" s="37"/>
    </row>
    <row r="52" spans="1:10" ht="15" x14ac:dyDescent="0.2">
      <c r="A52" s="140"/>
      <c r="B52" s="6"/>
      <c r="C52" s="138"/>
      <c r="D52" s="14"/>
      <c r="E52" s="145"/>
      <c r="F52" s="37"/>
      <c r="G52" s="57"/>
      <c r="H52" s="53"/>
      <c r="I52" s="53"/>
      <c r="J52" s="37"/>
    </row>
    <row r="53" spans="1:10" ht="15" x14ac:dyDescent="0.2">
      <c r="A53" s="134" t="s">
        <v>34</v>
      </c>
      <c r="B53" s="115">
        <v>1</v>
      </c>
      <c r="C53" s="135"/>
      <c r="D53" s="116" t="s">
        <v>63</v>
      </c>
      <c r="E53" s="136"/>
      <c r="F53" s="37"/>
      <c r="G53" s="57"/>
      <c r="H53" s="53"/>
      <c r="I53" s="53"/>
      <c r="J53" s="37"/>
    </row>
    <row r="54" spans="1:10" ht="15" x14ac:dyDescent="0.2">
      <c r="A54" s="127" t="s">
        <v>36</v>
      </c>
      <c r="B54" s="112">
        <v>1</v>
      </c>
      <c r="C54" s="119"/>
      <c r="D54" s="113" t="s">
        <v>59</v>
      </c>
      <c r="E54" s="128"/>
      <c r="F54" s="37"/>
      <c r="G54" s="57"/>
      <c r="H54" s="53"/>
      <c r="I54" s="53"/>
      <c r="J54" s="37"/>
    </row>
    <row r="55" spans="1:10" ht="13.5" x14ac:dyDescent="0.2">
      <c r="A55" s="109"/>
      <c r="B55" s="110"/>
      <c r="C55" s="118" t="s">
        <v>51</v>
      </c>
      <c r="D55" s="111"/>
      <c r="E55" s="111"/>
      <c r="F55" s="37"/>
      <c r="G55" s="59"/>
      <c r="H55" s="60"/>
      <c r="I55" s="60"/>
      <c r="J55" s="37"/>
    </row>
    <row r="56" spans="1:10" ht="13.5" x14ac:dyDescent="0.2">
      <c r="A56" s="114"/>
      <c r="B56" s="115"/>
      <c r="C56" s="135"/>
      <c r="D56" s="116"/>
      <c r="E56" s="116"/>
      <c r="F56" s="37"/>
      <c r="G56" s="59"/>
      <c r="H56" s="60"/>
      <c r="I56" s="60"/>
      <c r="J56" s="37"/>
    </row>
    <row r="57" spans="1:10" ht="13.5" x14ac:dyDescent="0.2">
      <c r="A57" s="140"/>
      <c r="B57" s="6"/>
      <c r="C57" s="138"/>
      <c r="D57" s="14"/>
      <c r="E57" s="141"/>
      <c r="F57" s="37"/>
      <c r="G57" s="59"/>
      <c r="H57" s="60"/>
      <c r="I57" s="60"/>
      <c r="J57" s="37"/>
    </row>
    <row r="58" spans="1:10" ht="13.5" x14ac:dyDescent="0.2">
      <c r="A58" s="142"/>
      <c r="B58" s="79"/>
      <c r="C58" s="143"/>
      <c r="D58" s="80"/>
      <c r="E58" s="144"/>
      <c r="F58" s="37"/>
      <c r="G58" s="59"/>
      <c r="H58" s="60"/>
      <c r="I58" s="60"/>
      <c r="J58" s="37"/>
    </row>
    <row r="59" spans="1:10" ht="13.5" x14ac:dyDescent="0.2">
      <c r="A59" s="134" t="s">
        <v>34</v>
      </c>
      <c r="B59" s="115">
        <v>1</v>
      </c>
      <c r="C59" s="135"/>
      <c r="D59" s="116" t="s">
        <v>63</v>
      </c>
      <c r="E59" s="144"/>
      <c r="F59" s="37"/>
      <c r="G59" s="59"/>
      <c r="H59" s="60"/>
      <c r="I59" s="60"/>
      <c r="J59" s="37"/>
    </row>
    <row r="60" spans="1:10" ht="13.5" x14ac:dyDescent="0.2">
      <c r="A60" s="127" t="s">
        <v>36</v>
      </c>
      <c r="B60" s="112">
        <v>1</v>
      </c>
      <c r="C60" s="119"/>
      <c r="D60" s="113" t="s">
        <v>59</v>
      </c>
      <c r="E60" s="113"/>
      <c r="F60" s="37"/>
      <c r="G60" s="59"/>
      <c r="H60" s="60"/>
      <c r="I60" s="60"/>
      <c r="J60" s="37"/>
    </row>
    <row r="61" spans="1:10" ht="13.5" x14ac:dyDescent="0.2">
      <c r="A61" s="110"/>
      <c r="B61" s="110"/>
      <c r="C61" s="118" t="s">
        <v>52</v>
      </c>
      <c r="D61" s="111"/>
      <c r="E61" s="111"/>
      <c r="F61" s="37"/>
      <c r="G61" s="59"/>
      <c r="H61" s="60"/>
      <c r="I61" s="60"/>
      <c r="J61" s="37"/>
    </row>
    <row r="62" spans="1:10" ht="13.5" x14ac:dyDescent="0.2">
      <c r="A62" s="6"/>
      <c r="B62" s="6"/>
      <c r="C62" s="121"/>
      <c r="D62" s="14"/>
      <c r="E62" s="14"/>
      <c r="F62" s="37"/>
      <c r="G62" s="59"/>
      <c r="H62" s="60"/>
      <c r="I62" s="60"/>
      <c r="J62" s="37"/>
    </row>
    <row r="63" spans="1:10" ht="13.5" x14ac:dyDescent="0.2">
      <c r="A63" s="146"/>
      <c r="B63" s="79"/>
      <c r="C63" s="132"/>
      <c r="D63" s="80"/>
      <c r="E63" s="80"/>
      <c r="F63" s="37"/>
      <c r="G63" s="59"/>
      <c r="H63" s="60"/>
      <c r="I63" s="60"/>
      <c r="J63" s="37"/>
    </row>
    <row r="64" spans="1:10" ht="13.5" x14ac:dyDescent="0.2">
      <c r="A64" s="146"/>
      <c r="B64" s="79"/>
      <c r="C64" s="132"/>
      <c r="D64" s="80"/>
      <c r="E64" s="80"/>
      <c r="F64" s="37"/>
      <c r="G64" s="59"/>
      <c r="H64" s="60"/>
      <c r="I64" s="60"/>
      <c r="J64" s="37"/>
    </row>
    <row r="65" spans="1:10" ht="13.5" x14ac:dyDescent="0.2">
      <c r="A65" s="134" t="s">
        <v>34</v>
      </c>
      <c r="B65" s="115">
        <v>1</v>
      </c>
      <c r="C65" s="135"/>
      <c r="D65" s="116" t="s">
        <v>63</v>
      </c>
      <c r="E65" s="80"/>
      <c r="F65" s="37"/>
      <c r="G65" s="61"/>
      <c r="H65" s="62"/>
      <c r="I65" s="62"/>
      <c r="J65" s="37"/>
    </row>
    <row r="66" spans="1:10" ht="14.25" thickBot="1" x14ac:dyDescent="0.25">
      <c r="A66" s="127" t="s">
        <v>36</v>
      </c>
      <c r="B66" s="112">
        <v>1</v>
      </c>
      <c r="C66" s="119"/>
      <c r="D66" s="113" t="s">
        <v>59</v>
      </c>
      <c r="E66" s="15"/>
      <c r="F66" s="37"/>
      <c r="G66" s="37"/>
      <c r="H66" s="37"/>
      <c r="I66" s="37"/>
      <c r="J66" s="37"/>
    </row>
    <row r="67" spans="1:10" ht="14.25" thickBot="1" x14ac:dyDescent="0.25">
      <c r="A67" s="76" t="s">
        <v>22</v>
      </c>
      <c r="B67" s="76">
        <f>SUM(B41:B66)</f>
        <v>8</v>
      </c>
      <c r="C67" s="155"/>
      <c r="D67" s="83" t="s">
        <v>37</v>
      </c>
      <c r="E67" s="77"/>
      <c r="F67" s="37"/>
      <c r="G67" s="37"/>
      <c r="H67" s="37"/>
      <c r="I67" s="37"/>
      <c r="J67" s="37"/>
    </row>
    <row r="68" spans="1:10" ht="15" thickBot="1" x14ac:dyDescent="0.35">
      <c r="A68" s="78"/>
      <c r="B68" s="78"/>
      <c r="C68" s="78"/>
      <c r="D68" s="78"/>
      <c r="E68" s="78"/>
      <c r="F68" s="37"/>
      <c r="G68" s="37"/>
      <c r="H68" s="37"/>
      <c r="I68" s="37"/>
      <c r="J68" s="37"/>
    </row>
    <row r="69" spans="1:10" ht="18.75" thickBot="1" x14ac:dyDescent="0.25">
      <c r="A69" s="71" t="s">
        <v>14</v>
      </c>
      <c r="B69" s="72">
        <v>3</v>
      </c>
      <c r="C69" s="72"/>
      <c r="D69" s="73" t="s">
        <v>23</v>
      </c>
      <c r="E69" s="82">
        <v>42898</v>
      </c>
    </row>
    <row r="70" spans="1:10" ht="27.75" thickBot="1" x14ac:dyDescent="0.25">
      <c r="A70" s="74" t="s">
        <v>3</v>
      </c>
      <c r="B70" s="75" t="s">
        <v>15</v>
      </c>
      <c r="C70" s="75" t="s">
        <v>43</v>
      </c>
      <c r="D70" s="74" t="s">
        <v>7</v>
      </c>
      <c r="E70" s="74" t="s">
        <v>13</v>
      </c>
    </row>
    <row r="71" spans="1:10" ht="13.5" x14ac:dyDescent="0.2">
      <c r="A71" s="9"/>
      <c r="B71" s="8"/>
      <c r="C71" s="117" t="s">
        <v>49</v>
      </c>
      <c r="D71" s="13"/>
      <c r="E71" s="13"/>
    </row>
    <row r="72" spans="1:10" ht="13.5" x14ac:dyDescent="0.2">
      <c r="A72" s="114"/>
      <c r="B72" s="115"/>
      <c r="C72" s="120"/>
      <c r="D72" s="116"/>
      <c r="E72" s="14"/>
    </row>
    <row r="73" spans="1:10" ht="13.5" x14ac:dyDescent="0.2">
      <c r="A73" s="5"/>
      <c r="B73" s="6"/>
      <c r="C73" s="121"/>
      <c r="D73" s="14"/>
      <c r="E73" s="14"/>
    </row>
    <row r="74" spans="1:10" ht="13.5" x14ac:dyDescent="0.2">
      <c r="A74" s="79"/>
      <c r="B74" s="79"/>
      <c r="C74" s="132"/>
      <c r="D74" s="80"/>
      <c r="E74" s="133"/>
    </row>
    <row r="75" spans="1:10" ht="13.5" x14ac:dyDescent="0.2">
      <c r="A75" s="110"/>
      <c r="B75" s="110"/>
      <c r="C75" s="131"/>
      <c r="D75" s="111"/>
      <c r="E75" s="130"/>
    </row>
    <row r="76" spans="1:10" ht="13.5" x14ac:dyDescent="0.2">
      <c r="A76" s="110"/>
      <c r="B76" s="110"/>
      <c r="C76" s="131"/>
      <c r="D76" s="111"/>
      <c r="E76" s="130"/>
    </row>
    <row r="77" spans="1:10" ht="13.5" x14ac:dyDescent="0.2">
      <c r="A77" s="6"/>
      <c r="B77" s="6"/>
      <c r="C77" s="121"/>
      <c r="D77" s="14"/>
      <c r="E77" s="14"/>
    </row>
    <row r="78" spans="1:10" ht="13.5" x14ac:dyDescent="0.2">
      <c r="A78" s="134" t="s">
        <v>34</v>
      </c>
      <c r="B78" s="115">
        <v>1</v>
      </c>
      <c r="C78" s="135"/>
      <c r="D78" s="116" t="s">
        <v>63</v>
      </c>
      <c r="E78" s="80"/>
    </row>
    <row r="79" spans="1:10" ht="13.5" x14ac:dyDescent="0.2">
      <c r="A79" s="127" t="s">
        <v>36</v>
      </c>
      <c r="B79" s="112">
        <v>1</v>
      </c>
      <c r="C79" s="119"/>
      <c r="D79" s="113" t="s">
        <v>59</v>
      </c>
      <c r="E79" s="80"/>
    </row>
    <row r="80" spans="1:10" ht="13.5" x14ac:dyDescent="0.2">
      <c r="A80" s="122"/>
      <c r="B80" s="123"/>
      <c r="C80" s="124" t="s">
        <v>50</v>
      </c>
      <c r="D80" s="125"/>
      <c r="E80" s="126"/>
    </row>
    <row r="81" spans="1:5" ht="13.5" x14ac:dyDescent="0.2">
      <c r="A81" s="137"/>
      <c r="B81" s="6"/>
      <c r="C81" s="138"/>
      <c r="D81" s="14"/>
      <c r="E81" s="129"/>
    </row>
    <row r="82" spans="1:5" ht="13.5" x14ac:dyDescent="0.2">
      <c r="A82" s="140"/>
      <c r="B82" s="6"/>
      <c r="C82" s="138"/>
      <c r="D82" s="14"/>
      <c r="E82" s="145"/>
    </row>
    <row r="83" spans="1:5" ht="13.5" x14ac:dyDescent="0.2">
      <c r="A83" s="134" t="s">
        <v>34</v>
      </c>
      <c r="B83" s="115">
        <v>1</v>
      </c>
      <c r="C83" s="135"/>
      <c r="D83" s="116" t="s">
        <v>63</v>
      </c>
      <c r="E83" s="136"/>
    </row>
    <row r="84" spans="1:5" ht="13.5" x14ac:dyDescent="0.2">
      <c r="A84" s="127" t="s">
        <v>36</v>
      </c>
      <c r="B84" s="112">
        <v>1</v>
      </c>
      <c r="C84" s="119"/>
      <c r="D84" s="113" t="s">
        <v>59</v>
      </c>
      <c r="E84" s="128"/>
    </row>
    <row r="85" spans="1:5" ht="13.5" x14ac:dyDescent="0.2">
      <c r="A85" s="109"/>
      <c r="B85" s="110"/>
      <c r="C85" s="118" t="s">
        <v>51</v>
      </c>
      <c r="D85" s="111"/>
      <c r="E85" s="111"/>
    </row>
    <row r="86" spans="1:5" ht="13.5" x14ac:dyDescent="0.2">
      <c r="A86" s="114"/>
      <c r="B86" s="115"/>
      <c r="C86" s="135"/>
      <c r="D86" s="116"/>
      <c r="E86" s="116"/>
    </row>
    <row r="87" spans="1:5" ht="13.5" x14ac:dyDescent="0.2">
      <c r="A87" s="140"/>
      <c r="B87" s="6"/>
      <c r="C87" s="138"/>
      <c r="D87" s="14"/>
      <c r="E87" s="141"/>
    </row>
    <row r="88" spans="1:5" ht="13.5" x14ac:dyDescent="0.2">
      <c r="A88" s="142"/>
      <c r="B88" s="79"/>
      <c r="C88" s="143"/>
      <c r="D88" s="80"/>
      <c r="E88" s="144"/>
    </row>
    <row r="89" spans="1:5" ht="13.5" x14ac:dyDescent="0.2">
      <c r="A89" s="134" t="s">
        <v>34</v>
      </c>
      <c r="B89" s="115">
        <v>1</v>
      </c>
      <c r="C89" s="135"/>
      <c r="D89" s="116" t="s">
        <v>63</v>
      </c>
      <c r="E89" s="144"/>
    </row>
    <row r="90" spans="1:5" ht="13.5" x14ac:dyDescent="0.2">
      <c r="A90" s="127" t="s">
        <v>36</v>
      </c>
      <c r="B90" s="112">
        <v>1</v>
      </c>
      <c r="C90" s="119"/>
      <c r="D90" s="113" t="s">
        <v>59</v>
      </c>
      <c r="E90" s="113"/>
    </row>
    <row r="91" spans="1:5" ht="13.5" x14ac:dyDescent="0.2">
      <c r="A91" s="110"/>
      <c r="B91" s="110"/>
      <c r="C91" s="118" t="s">
        <v>52</v>
      </c>
      <c r="D91" s="111"/>
      <c r="E91" s="111"/>
    </row>
    <row r="92" spans="1:5" ht="13.5" x14ac:dyDescent="0.2">
      <c r="A92" s="6"/>
      <c r="B92" s="6"/>
      <c r="C92" s="121"/>
      <c r="D92" s="14"/>
      <c r="E92" s="14"/>
    </row>
    <row r="93" spans="1:5" ht="13.5" x14ac:dyDescent="0.2">
      <c r="A93" s="146"/>
      <c r="B93" s="79"/>
      <c r="C93" s="132"/>
      <c r="D93" s="80"/>
      <c r="E93" s="80"/>
    </row>
    <row r="94" spans="1:5" ht="13.5" x14ac:dyDescent="0.2">
      <c r="A94" s="146"/>
      <c r="B94" s="79"/>
      <c r="C94" s="132"/>
      <c r="D94" s="80"/>
      <c r="E94" s="80"/>
    </row>
    <row r="95" spans="1:5" ht="13.5" x14ac:dyDescent="0.2">
      <c r="A95" s="134" t="s">
        <v>34</v>
      </c>
      <c r="B95" s="115">
        <v>1</v>
      </c>
      <c r="C95" s="135"/>
      <c r="D95" s="116" t="s">
        <v>63</v>
      </c>
      <c r="E95" s="80"/>
    </row>
    <row r="96" spans="1:5" ht="14.25" thickBot="1" x14ac:dyDescent="0.25">
      <c r="A96" s="127" t="s">
        <v>36</v>
      </c>
      <c r="B96" s="112">
        <v>1</v>
      </c>
      <c r="C96" s="119"/>
      <c r="D96" s="113" t="s">
        <v>59</v>
      </c>
      <c r="E96" s="15"/>
    </row>
    <row r="97" spans="1:5" ht="14.25" thickBot="1" x14ac:dyDescent="0.25">
      <c r="A97" s="76" t="s">
        <v>22</v>
      </c>
      <c r="B97" s="76">
        <f>SUM(B71:B96)</f>
        <v>8</v>
      </c>
      <c r="C97" s="155"/>
      <c r="D97" s="83" t="s">
        <v>37</v>
      </c>
      <c r="E97" s="77"/>
    </row>
    <row r="98" spans="1:5" ht="15" thickBot="1" x14ac:dyDescent="0.35">
      <c r="A98" s="78"/>
      <c r="B98" s="78"/>
      <c r="C98" s="78"/>
      <c r="D98" s="78"/>
      <c r="E98" s="78"/>
    </row>
    <row r="99" spans="1:5" ht="18.75" thickBot="1" x14ac:dyDescent="0.25">
      <c r="A99" s="71" t="s">
        <v>14</v>
      </c>
      <c r="B99" s="72">
        <v>4</v>
      </c>
      <c r="C99" s="72"/>
      <c r="D99" s="73" t="s">
        <v>23</v>
      </c>
      <c r="E99" s="82">
        <v>42905</v>
      </c>
    </row>
    <row r="100" spans="1:5" ht="27.75" thickBot="1" x14ac:dyDescent="0.25">
      <c r="A100" s="74" t="s">
        <v>3</v>
      </c>
      <c r="B100" s="75" t="s">
        <v>15</v>
      </c>
      <c r="C100" s="75" t="s">
        <v>43</v>
      </c>
      <c r="D100" s="74" t="s">
        <v>7</v>
      </c>
      <c r="E100" s="74" t="s">
        <v>13</v>
      </c>
    </row>
    <row r="101" spans="1:5" ht="13.5" x14ac:dyDescent="0.2">
      <c r="A101" s="9"/>
      <c r="B101" s="8"/>
      <c r="C101" s="117" t="s">
        <v>49</v>
      </c>
      <c r="D101" s="13"/>
      <c r="E101" s="13"/>
    </row>
    <row r="102" spans="1:5" ht="14.25" thickBot="1" x14ac:dyDescent="0.25">
      <c r="A102" s="5" t="s">
        <v>21</v>
      </c>
      <c r="B102" s="6">
        <v>24</v>
      </c>
      <c r="C102" s="119"/>
      <c r="D102" s="14" t="s">
        <v>58</v>
      </c>
      <c r="E102" s="14"/>
    </row>
    <row r="103" spans="1:5" ht="14.25" thickBot="1" x14ac:dyDescent="0.25">
      <c r="A103" s="76" t="s">
        <v>22</v>
      </c>
      <c r="B103" s="76">
        <f>SUM(B101:B102)</f>
        <v>24</v>
      </c>
      <c r="C103" s="155"/>
      <c r="D103" s="83" t="s">
        <v>37</v>
      </c>
      <c r="E103" s="77"/>
    </row>
    <row r="104" spans="1:5" ht="14.25" x14ac:dyDescent="0.3">
      <c r="A104" s="78"/>
      <c r="B104" s="78"/>
      <c r="C104" s="78"/>
      <c r="D104" s="78"/>
      <c r="E104" s="78"/>
    </row>
    <row r="105" spans="1:5" x14ac:dyDescent="0.2">
      <c r="A105" s="84" t="s">
        <v>38</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G65">
      <formula1>0</formula1>
      <formula2>DureePeriode-1</formula2>
    </dataValidation>
    <dataValidation type="whole" errorStyle="warning" operator="greaterThan" allowBlank="1" showInputMessage="1" showErrorMessage="1" errorTitle="Durée en 1/3 de période" error="Le nombre doit être de type entier" sqref="G55:G64 B41:C66 B101:C102 B71:C96 B3:C36">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7:C37 B67:C67 B97:C97 B103:C103">
      <formula1>0</formula1>
      <formula2>NbPerWeek * NbQuartPer</formula2>
    </dataValidation>
    <dataValidation type="list" allowBlank="1" showInputMessage="1" showErrorMessage="1" sqref="A41:A66 A101:A102 A71:A96 A3:A36">
      <formula1>lstTasks</formula1>
    </dataValidation>
  </dataValidations>
  <hyperlinks>
    <hyperlink ref="E6" r:id="rId1"/>
    <hyperlink ref="E7" r:id="rId2"/>
    <hyperlink ref="E8" r:id="rId3"/>
    <hyperlink ref="E13" r:id="rId4"/>
    <hyperlink ref="E20" r:id="rId5"/>
    <hyperlink ref="E29" r:id="rId6"/>
    <hyperlink ref="E25" r:id="rId7"/>
    <hyperlink ref="E32" r:id="rId8"/>
  </hyperlinks>
  <printOptions horizontalCentered="1" verticalCentered="1"/>
  <pageMargins left="0.25" right="0.25" top="0.75" bottom="0.75" header="0.3" footer="0.3"/>
  <pageSetup paperSize="9" scale="54" fitToHeight="0" orientation="portrait" cellComments="atEnd" r:id="rId9"/>
  <headerFooter>
    <oddHeader>&amp;L&amp;"ETML L,Normal"&amp;24ETML</oddHeader>
    <oddFooter>&amp;C&amp;F&amp;L&amp;D</oddFooter>
  </headerFooter>
  <drawing r:id="rId10"/>
  <legacyDrawing r:id="rId11"/>
  <controls>
    <mc:AlternateContent xmlns:mc="http://schemas.openxmlformats.org/markup-compatibility/2006">
      <mc:Choice Requires="x14">
        <control shapeId="41985" r:id="rId12" name="btnImportRealisation">
          <controlPr defaultSize="0" autoLine="0" autoPict="0" r:id="rId13">
            <anchor moveWithCells="1">
              <from>
                <xdr:col>5</xdr:col>
                <xdr:colOff>590550</xdr:colOff>
                <xdr:row>0</xdr:row>
                <xdr:rowOff>180975</xdr:rowOff>
              </from>
              <to>
                <xdr:col>8</xdr:col>
                <xdr:colOff>190500</xdr:colOff>
                <xdr:row>2</xdr:row>
                <xdr:rowOff>66675</xdr:rowOff>
              </to>
            </anchor>
          </controlPr>
        </control>
      </mc:Choice>
      <mc:Fallback>
        <control shapeId="41985" r:id="rId12"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J89"/>
  <sheetViews>
    <sheetView view="pageBreakPreview" topLeftCell="A39" zoomScale="70" zoomScaleNormal="100" zoomScaleSheetLayoutView="70" workbookViewId="0">
      <selection activeCell="A86" sqref="A86:E86"/>
    </sheetView>
  </sheetViews>
  <sheetFormatPr baseColWidth="10" defaultColWidth="11.42578125" defaultRowHeight="12.75" x14ac:dyDescent="0.2"/>
  <cols>
    <col min="1" max="1" width="21.42578125" style="51" customWidth="1"/>
    <col min="2" max="2" width="8.5703125" style="51" bestFit="1" customWidth="1"/>
    <col min="3" max="3" width="19.5703125" style="51" bestFit="1" customWidth="1"/>
    <col min="4" max="4" width="87" style="51" customWidth="1"/>
    <col min="5" max="5" width="44.28515625" style="51" customWidth="1"/>
    <col min="6" max="16384" width="11.42578125" style="51"/>
  </cols>
  <sheetData>
    <row r="1" spans="1:5" ht="18.75" thickBot="1" x14ac:dyDescent="0.25">
      <c r="A1" s="10" t="s">
        <v>14</v>
      </c>
      <c r="B1" s="11">
        <v>1</v>
      </c>
      <c r="C1" s="11"/>
      <c r="D1" s="31"/>
      <c r="E1" s="33"/>
    </row>
    <row r="2" spans="1:5" ht="27.75" thickBot="1" x14ac:dyDescent="0.25">
      <c r="A2" s="12" t="s">
        <v>3</v>
      </c>
      <c r="B2" s="32" t="s">
        <v>15</v>
      </c>
      <c r="C2" s="32" t="s">
        <v>43</v>
      </c>
      <c r="D2" s="12" t="s">
        <v>7</v>
      </c>
      <c r="E2" s="12" t="s">
        <v>13</v>
      </c>
    </row>
    <row r="3" spans="1:5" s="81" customFormat="1" ht="13.5" x14ac:dyDescent="0.2">
      <c r="A3" s="9"/>
      <c r="B3" s="8"/>
      <c r="C3" s="117" t="s">
        <v>49</v>
      </c>
      <c r="D3" s="13"/>
      <c r="E3" s="13"/>
    </row>
    <row r="4" spans="1:5" s="81" customFormat="1" ht="13.5" x14ac:dyDescent="0.2">
      <c r="A4" s="114" t="s">
        <v>21</v>
      </c>
      <c r="B4" s="115">
        <v>1</v>
      </c>
      <c r="C4" s="120"/>
      <c r="D4" s="116" t="s">
        <v>44</v>
      </c>
      <c r="E4" s="14"/>
    </row>
    <row r="5" spans="1:5" s="81" customFormat="1" ht="13.5" x14ac:dyDescent="0.2">
      <c r="A5" s="5" t="s">
        <v>21</v>
      </c>
      <c r="B5" s="6">
        <v>3</v>
      </c>
      <c r="C5" s="121"/>
      <c r="D5" s="14" t="s">
        <v>45</v>
      </c>
      <c r="E5" s="14"/>
    </row>
    <row r="6" spans="1:5" s="81" customFormat="1" ht="27" x14ac:dyDescent="0.2">
      <c r="A6" s="79" t="s">
        <v>28</v>
      </c>
      <c r="B6" s="79">
        <v>6</v>
      </c>
      <c r="C6" s="132"/>
      <c r="D6" s="80" t="s">
        <v>48</v>
      </c>
      <c r="E6" s="133" t="s">
        <v>46</v>
      </c>
    </row>
    <row r="7" spans="1:5" s="81" customFormat="1" ht="13.5" x14ac:dyDescent="0.2">
      <c r="A7" s="110"/>
      <c r="B7" s="110"/>
      <c r="C7" s="131"/>
      <c r="D7" s="111"/>
      <c r="E7" s="130" t="s">
        <v>47</v>
      </c>
    </row>
    <row r="8" spans="1:5" s="81" customFormat="1" ht="27" x14ac:dyDescent="0.2">
      <c r="A8" s="110" t="s">
        <v>35</v>
      </c>
      <c r="B8" s="110">
        <v>3</v>
      </c>
      <c r="C8" s="131"/>
      <c r="D8" s="111" t="s">
        <v>53</v>
      </c>
      <c r="E8" s="130" t="s">
        <v>54</v>
      </c>
    </row>
    <row r="9" spans="1:5" s="81" customFormat="1" ht="27" x14ac:dyDescent="0.2">
      <c r="A9" s="6" t="s">
        <v>35</v>
      </c>
      <c r="B9" s="6">
        <v>11</v>
      </c>
      <c r="C9" s="121"/>
      <c r="D9" s="14" t="s">
        <v>55</v>
      </c>
      <c r="E9" s="14"/>
    </row>
    <row r="10" spans="1:5" s="81" customFormat="1" ht="13.5" x14ac:dyDescent="0.2">
      <c r="A10" s="79" t="s">
        <v>34</v>
      </c>
      <c r="B10" s="79">
        <v>1</v>
      </c>
      <c r="C10" s="121"/>
      <c r="D10" s="80" t="s">
        <v>63</v>
      </c>
      <c r="E10" s="80"/>
    </row>
    <row r="11" spans="1:5" s="81" customFormat="1" ht="13.5" x14ac:dyDescent="0.2">
      <c r="A11" s="79" t="s">
        <v>36</v>
      </c>
      <c r="B11" s="79">
        <v>2</v>
      </c>
      <c r="C11" s="120"/>
      <c r="D11" s="80" t="s">
        <v>59</v>
      </c>
      <c r="E11" s="80"/>
    </row>
    <row r="12" spans="1:5" s="81" customFormat="1" ht="13.5" x14ac:dyDescent="0.2">
      <c r="A12" s="122"/>
      <c r="B12" s="123"/>
      <c r="C12" s="124" t="s">
        <v>50</v>
      </c>
      <c r="D12" s="125"/>
      <c r="E12" s="126"/>
    </row>
    <row r="13" spans="1:5" s="81" customFormat="1" ht="27" x14ac:dyDescent="0.2">
      <c r="A13" s="137" t="s">
        <v>35</v>
      </c>
      <c r="B13" s="6">
        <v>3</v>
      </c>
      <c r="C13" s="138"/>
      <c r="D13" s="14" t="s">
        <v>56</v>
      </c>
      <c r="E13" s="129" t="s">
        <v>54</v>
      </c>
    </row>
    <row r="14" spans="1:5" s="81" customFormat="1" ht="27" x14ac:dyDescent="0.2">
      <c r="A14" s="140" t="s">
        <v>35</v>
      </c>
      <c r="B14" s="6">
        <v>7</v>
      </c>
      <c r="C14" s="138"/>
      <c r="D14" s="14" t="s">
        <v>67</v>
      </c>
      <c r="E14" s="145"/>
    </row>
    <row r="15" spans="1:5" s="81" customFormat="1" ht="13.5" x14ac:dyDescent="0.2">
      <c r="A15" s="134" t="s">
        <v>34</v>
      </c>
      <c r="B15" s="115">
        <v>1</v>
      </c>
      <c r="C15" s="135"/>
      <c r="D15" s="116" t="s">
        <v>63</v>
      </c>
      <c r="E15" s="136"/>
    </row>
    <row r="16" spans="1:5" s="81" customFormat="1" ht="13.5" x14ac:dyDescent="0.2">
      <c r="A16" s="127" t="s">
        <v>36</v>
      </c>
      <c r="B16" s="112">
        <v>1</v>
      </c>
      <c r="C16" s="119"/>
      <c r="D16" s="113" t="s">
        <v>59</v>
      </c>
      <c r="E16" s="128"/>
    </row>
    <row r="17" spans="1:5" s="81" customFormat="1" ht="13.5" x14ac:dyDescent="0.2">
      <c r="A17" s="109"/>
      <c r="B17" s="110"/>
      <c r="C17" s="118" t="s">
        <v>51</v>
      </c>
      <c r="D17" s="111"/>
      <c r="E17" s="111"/>
    </row>
    <row r="18" spans="1:5" s="81" customFormat="1" ht="13.5" x14ac:dyDescent="0.2">
      <c r="A18" s="114" t="s">
        <v>30</v>
      </c>
      <c r="B18" s="115">
        <v>10</v>
      </c>
      <c r="C18" s="135"/>
      <c r="D18" s="116" t="s">
        <v>60</v>
      </c>
      <c r="E18" s="116"/>
    </row>
    <row r="19" spans="1:5" s="81" customFormat="1" ht="13.5" x14ac:dyDescent="0.2">
      <c r="A19" s="140" t="s">
        <v>31</v>
      </c>
      <c r="B19" s="6">
        <v>5</v>
      </c>
      <c r="C19" s="138"/>
      <c r="D19" s="14" t="s">
        <v>61</v>
      </c>
      <c r="E19" s="141"/>
    </row>
    <row r="20" spans="1:5" s="81" customFormat="1" ht="13.5" x14ac:dyDescent="0.2">
      <c r="A20" s="142" t="s">
        <v>29</v>
      </c>
      <c r="B20" s="79">
        <v>9</v>
      </c>
      <c r="C20" s="143"/>
      <c r="D20" s="80" t="s">
        <v>62</v>
      </c>
      <c r="E20" s="144"/>
    </row>
    <row r="21" spans="1:5" s="81" customFormat="1" ht="13.5" x14ac:dyDescent="0.2">
      <c r="A21" s="142" t="s">
        <v>34</v>
      </c>
      <c r="B21" s="79">
        <v>1</v>
      </c>
      <c r="C21" s="143"/>
      <c r="D21" s="80" t="s">
        <v>63</v>
      </c>
      <c r="E21" s="144"/>
    </row>
    <row r="22" spans="1:5" s="81" customFormat="1" ht="13.5" x14ac:dyDescent="0.2">
      <c r="A22" s="127" t="s">
        <v>36</v>
      </c>
      <c r="B22" s="112">
        <v>1</v>
      </c>
      <c r="C22" s="119"/>
      <c r="D22" s="113" t="s">
        <v>59</v>
      </c>
      <c r="E22" s="113"/>
    </row>
    <row r="23" spans="1:5" s="81" customFormat="1" ht="13.5" x14ac:dyDescent="0.2">
      <c r="A23" s="110"/>
      <c r="B23" s="110"/>
      <c r="C23" s="118" t="s">
        <v>52</v>
      </c>
      <c r="D23" s="111"/>
      <c r="E23" s="111"/>
    </row>
    <row r="24" spans="1:5" s="81" customFormat="1" ht="13.5" x14ac:dyDescent="0.2">
      <c r="A24" s="6" t="s">
        <v>30</v>
      </c>
      <c r="B24" s="6">
        <v>5</v>
      </c>
      <c r="C24" s="121"/>
      <c r="D24" s="14" t="s">
        <v>64</v>
      </c>
      <c r="E24" s="14"/>
    </row>
    <row r="25" spans="1:5" s="81" customFormat="1" ht="13.5" x14ac:dyDescent="0.2">
      <c r="A25" s="146" t="s">
        <v>29</v>
      </c>
      <c r="B25" s="79">
        <v>8</v>
      </c>
      <c r="C25" s="132"/>
      <c r="D25" s="80" t="s">
        <v>65</v>
      </c>
      <c r="E25" s="80"/>
    </row>
    <row r="26" spans="1:5" s="81" customFormat="1" ht="13.5" x14ac:dyDescent="0.2">
      <c r="A26" s="146" t="s">
        <v>29</v>
      </c>
      <c r="B26" s="79">
        <v>12</v>
      </c>
      <c r="C26" s="132"/>
      <c r="D26" s="80" t="s">
        <v>68</v>
      </c>
      <c r="E26" s="80"/>
    </row>
    <row r="27" spans="1:5" s="81" customFormat="1" ht="13.5" x14ac:dyDescent="0.2">
      <c r="A27" s="146" t="s">
        <v>34</v>
      </c>
      <c r="B27" s="79">
        <v>1</v>
      </c>
      <c r="C27" s="132"/>
      <c r="D27" s="80" t="s">
        <v>63</v>
      </c>
      <c r="E27" s="80"/>
    </row>
    <row r="28" spans="1:5" s="81" customFormat="1" ht="14.25" thickBot="1" x14ac:dyDescent="0.25">
      <c r="A28" s="127" t="s">
        <v>36</v>
      </c>
      <c r="B28" s="112">
        <v>1</v>
      </c>
      <c r="C28" s="119"/>
      <c r="D28" s="113" t="s">
        <v>59</v>
      </c>
      <c r="E28" s="15"/>
    </row>
    <row r="29" spans="1:5" ht="14.25" thickBot="1" x14ac:dyDescent="0.25">
      <c r="A29" s="16" t="s">
        <v>22</v>
      </c>
      <c r="B29" s="16">
        <f>SUM(B3:B28)</f>
        <v>92</v>
      </c>
      <c r="C29" s="108"/>
      <c r="D29" s="85" t="s">
        <v>37</v>
      </c>
      <c r="E29" s="17"/>
    </row>
    <row r="30" spans="1:5" ht="15" thickBot="1" x14ac:dyDescent="0.35">
      <c r="A30" s="18"/>
      <c r="B30" s="18"/>
      <c r="C30" s="18"/>
      <c r="D30" s="18"/>
      <c r="E30" s="18"/>
    </row>
    <row r="31" spans="1:5" ht="18.75" thickBot="1" x14ac:dyDescent="0.25">
      <c r="A31" s="10" t="s">
        <v>14</v>
      </c>
      <c r="B31" s="11">
        <v>2</v>
      </c>
      <c r="C31" s="11"/>
      <c r="D31" s="31"/>
      <c r="E31" s="33"/>
    </row>
    <row r="32" spans="1:5" ht="27.75" thickBot="1" x14ac:dyDescent="0.25">
      <c r="A32" s="12" t="s">
        <v>3</v>
      </c>
      <c r="B32" s="32" t="s">
        <v>15</v>
      </c>
      <c r="C32" s="32" t="s">
        <v>43</v>
      </c>
      <c r="D32" s="12" t="s">
        <v>7</v>
      </c>
      <c r="E32" s="12" t="s">
        <v>13</v>
      </c>
    </row>
    <row r="33" spans="1:10" ht="13.5" x14ac:dyDescent="0.2">
      <c r="A33" s="9"/>
      <c r="B33" s="8"/>
      <c r="C33" s="117" t="s">
        <v>49</v>
      </c>
      <c r="D33" s="13"/>
      <c r="E33" s="13"/>
    </row>
    <row r="34" spans="1:10" ht="13.5" x14ac:dyDescent="0.2">
      <c r="A34" s="5" t="s">
        <v>21</v>
      </c>
      <c r="B34" s="6">
        <v>27</v>
      </c>
      <c r="C34" s="121"/>
      <c r="D34" s="14" t="s">
        <v>69</v>
      </c>
      <c r="E34" s="14"/>
    </row>
    <row r="35" spans="1:10" ht="12.75" customHeight="1" x14ac:dyDescent="0.2">
      <c r="A35" s="109"/>
      <c r="B35" s="110"/>
      <c r="C35" s="124" t="s">
        <v>50</v>
      </c>
      <c r="D35" s="111"/>
      <c r="E35" s="111"/>
      <c r="F35" s="37"/>
      <c r="G35" s="54"/>
      <c r="H35" s="55"/>
      <c r="I35" s="56"/>
      <c r="J35" s="37"/>
    </row>
    <row r="36" spans="1:10" ht="15" x14ac:dyDescent="0.2">
      <c r="A36" s="5" t="s">
        <v>31</v>
      </c>
      <c r="B36" s="6">
        <v>6</v>
      </c>
      <c r="C36" s="138"/>
      <c r="D36" s="14" t="s">
        <v>66</v>
      </c>
      <c r="E36" s="14"/>
      <c r="F36" s="37"/>
      <c r="G36" s="57"/>
      <c r="H36" s="53"/>
      <c r="I36" s="53"/>
      <c r="J36" s="37"/>
    </row>
    <row r="37" spans="1:10" ht="15" x14ac:dyDescent="0.2">
      <c r="A37" s="147" t="s">
        <v>29</v>
      </c>
      <c r="B37" s="115">
        <v>4</v>
      </c>
      <c r="C37" s="135"/>
      <c r="D37" s="116" t="s">
        <v>70</v>
      </c>
      <c r="E37" s="116"/>
      <c r="F37" s="37"/>
      <c r="G37" s="57"/>
      <c r="H37" s="53"/>
      <c r="I37" s="53"/>
      <c r="J37" s="37"/>
    </row>
    <row r="38" spans="1:10" ht="15" x14ac:dyDescent="0.2">
      <c r="A38" s="146" t="s">
        <v>34</v>
      </c>
      <c r="B38" s="79">
        <v>1</v>
      </c>
      <c r="C38" s="132"/>
      <c r="D38" s="80" t="s">
        <v>63</v>
      </c>
      <c r="E38" s="80"/>
      <c r="F38" s="37"/>
      <c r="G38" s="57"/>
      <c r="H38" s="53"/>
      <c r="I38" s="53"/>
      <c r="J38" s="37"/>
    </row>
    <row r="39" spans="1:10" ht="13.5" x14ac:dyDescent="0.2">
      <c r="A39" s="127" t="s">
        <v>36</v>
      </c>
      <c r="B39" s="112">
        <v>1</v>
      </c>
      <c r="C39" s="119"/>
      <c r="D39" s="113" t="s">
        <v>59</v>
      </c>
      <c r="E39" s="113"/>
      <c r="F39" s="37"/>
      <c r="G39" s="59"/>
      <c r="H39" s="60"/>
      <c r="I39" s="60"/>
      <c r="J39" s="37"/>
    </row>
    <row r="40" spans="1:10" ht="13.5" x14ac:dyDescent="0.2">
      <c r="A40" s="109"/>
      <c r="B40" s="110"/>
      <c r="C40" s="118" t="s">
        <v>51</v>
      </c>
      <c r="D40" s="111"/>
      <c r="E40" s="111"/>
      <c r="F40" s="37"/>
      <c r="G40" s="59"/>
      <c r="H40" s="60"/>
      <c r="I40" s="60"/>
      <c r="J40" s="37"/>
    </row>
    <row r="41" spans="1:10" ht="13.5" x14ac:dyDescent="0.2">
      <c r="A41" s="140" t="s">
        <v>28</v>
      </c>
      <c r="B41" s="6">
        <v>4</v>
      </c>
      <c r="C41" s="138"/>
      <c r="D41" s="14" t="s">
        <v>71</v>
      </c>
      <c r="E41" s="141"/>
      <c r="F41" s="37"/>
      <c r="G41" s="59"/>
      <c r="H41" s="60"/>
      <c r="I41" s="60"/>
      <c r="J41" s="37"/>
    </row>
    <row r="42" spans="1:10" ht="13.5" x14ac:dyDescent="0.2">
      <c r="A42" s="148" t="s">
        <v>29</v>
      </c>
      <c r="B42" s="6">
        <v>12</v>
      </c>
      <c r="C42" s="138"/>
      <c r="D42" s="14" t="s">
        <v>70</v>
      </c>
      <c r="E42" s="14"/>
      <c r="F42" s="37"/>
      <c r="G42" s="59"/>
      <c r="H42" s="60"/>
      <c r="I42" s="60"/>
      <c r="J42" s="37"/>
    </row>
    <row r="43" spans="1:10" ht="13.5" x14ac:dyDescent="0.2">
      <c r="A43" s="139" t="s">
        <v>31</v>
      </c>
      <c r="B43" s="115">
        <v>9</v>
      </c>
      <c r="C43" s="135"/>
      <c r="D43" s="116" t="s">
        <v>72</v>
      </c>
      <c r="E43" s="116"/>
      <c r="F43" s="37"/>
      <c r="G43" s="59"/>
      <c r="H43" s="60"/>
      <c r="I43" s="60"/>
      <c r="J43" s="37"/>
    </row>
    <row r="44" spans="1:10" ht="13.5" x14ac:dyDescent="0.2">
      <c r="A44" s="146" t="s">
        <v>34</v>
      </c>
      <c r="B44" s="79">
        <v>1</v>
      </c>
      <c r="C44" s="132"/>
      <c r="D44" s="80" t="s">
        <v>63</v>
      </c>
      <c r="E44" s="80"/>
      <c r="F44" s="37"/>
      <c r="G44" s="59"/>
      <c r="H44" s="60"/>
      <c r="I44" s="60"/>
      <c r="J44" s="37"/>
    </row>
    <row r="45" spans="1:10" ht="13.5" x14ac:dyDescent="0.2">
      <c r="A45" s="127" t="s">
        <v>36</v>
      </c>
      <c r="B45" s="112">
        <v>1</v>
      </c>
      <c r="C45" s="119"/>
      <c r="D45" s="113" t="s">
        <v>59</v>
      </c>
      <c r="E45" s="113"/>
      <c r="F45" s="37"/>
      <c r="G45" s="59"/>
      <c r="H45" s="60"/>
      <c r="I45" s="60"/>
      <c r="J45" s="37"/>
    </row>
    <row r="46" spans="1:10" ht="13.5" x14ac:dyDescent="0.2">
      <c r="A46" s="110"/>
      <c r="B46" s="110"/>
      <c r="C46" s="118" t="s">
        <v>52</v>
      </c>
      <c r="D46" s="111"/>
      <c r="E46" s="111"/>
      <c r="F46" s="37"/>
      <c r="G46" s="59"/>
      <c r="H46" s="60"/>
      <c r="I46" s="60"/>
      <c r="J46" s="37"/>
    </row>
    <row r="47" spans="1:10" ht="13.5" x14ac:dyDescent="0.2">
      <c r="A47" s="6" t="s">
        <v>33</v>
      </c>
      <c r="B47" s="6">
        <v>6</v>
      </c>
      <c r="C47" s="121"/>
      <c r="D47" s="14" t="s">
        <v>73</v>
      </c>
      <c r="E47" s="14"/>
      <c r="F47" s="37"/>
      <c r="G47" s="59"/>
      <c r="H47" s="60"/>
      <c r="I47" s="60"/>
      <c r="J47" s="37"/>
    </row>
    <row r="48" spans="1:10" ht="13.5" x14ac:dyDescent="0.2">
      <c r="A48" s="146" t="s">
        <v>29</v>
      </c>
      <c r="B48" s="79">
        <v>10</v>
      </c>
      <c r="C48" s="132"/>
      <c r="D48" s="80" t="s">
        <v>74</v>
      </c>
      <c r="E48" s="80"/>
      <c r="F48" s="37"/>
      <c r="G48" s="59"/>
      <c r="H48" s="60"/>
      <c r="I48" s="60"/>
      <c r="J48" s="37"/>
    </row>
    <row r="49" spans="1:10" ht="13.5" x14ac:dyDescent="0.2">
      <c r="A49" s="146" t="s">
        <v>75</v>
      </c>
      <c r="B49" s="79">
        <v>9</v>
      </c>
      <c r="C49" s="132"/>
      <c r="D49" s="80" t="s">
        <v>76</v>
      </c>
      <c r="E49" s="80"/>
      <c r="F49" s="37"/>
      <c r="G49" s="59"/>
      <c r="H49" s="60"/>
      <c r="I49" s="60"/>
      <c r="J49" s="37"/>
    </row>
    <row r="50" spans="1:10" ht="13.5" x14ac:dyDescent="0.2">
      <c r="A50" s="146" t="s">
        <v>34</v>
      </c>
      <c r="B50" s="79">
        <v>1</v>
      </c>
      <c r="C50" s="132"/>
      <c r="D50" s="80" t="s">
        <v>63</v>
      </c>
      <c r="E50" s="80"/>
      <c r="F50" s="37"/>
      <c r="G50" s="59"/>
      <c r="H50" s="60"/>
      <c r="I50" s="60"/>
      <c r="J50" s="37"/>
    </row>
    <row r="51" spans="1:10" ht="14.25" thickBot="1" x14ac:dyDescent="0.25">
      <c r="A51" s="127" t="s">
        <v>36</v>
      </c>
      <c r="B51" s="112">
        <v>1</v>
      </c>
      <c r="C51" s="119"/>
      <c r="D51" s="113" t="s">
        <v>59</v>
      </c>
      <c r="E51" s="15"/>
      <c r="F51" s="37"/>
      <c r="G51" s="59"/>
      <c r="H51" s="60"/>
      <c r="I51" s="60"/>
      <c r="J51" s="37"/>
    </row>
    <row r="52" spans="1:10" ht="14.25" thickBot="1" x14ac:dyDescent="0.25">
      <c r="A52" s="16" t="s">
        <v>22</v>
      </c>
      <c r="B52" s="16">
        <f>SUM(B33:B51)</f>
        <v>93</v>
      </c>
      <c r="C52" s="108"/>
      <c r="D52" s="85" t="s">
        <v>37</v>
      </c>
      <c r="E52" s="17"/>
      <c r="F52" s="37"/>
      <c r="G52" s="59"/>
      <c r="H52" s="60"/>
      <c r="I52" s="60"/>
      <c r="J52" s="37"/>
    </row>
    <row r="53" spans="1:10" ht="15" thickBot="1" x14ac:dyDescent="0.35">
      <c r="A53" s="18"/>
      <c r="B53" s="18"/>
      <c r="C53" s="18"/>
      <c r="D53" s="18"/>
      <c r="E53" s="18"/>
      <c r="F53" s="37"/>
      <c r="G53" s="59"/>
      <c r="H53" s="60"/>
      <c r="I53" s="60"/>
      <c r="J53" s="37"/>
    </row>
    <row r="54" spans="1:10" ht="18.75" thickBot="1" x14ac:dyDescent="0.25">
      <c r="A54" s="10" t="s">
        <v>14</v>
      </c>
      <c r="B54" s="11">
        <v>3</v>
      </c>
      <c r="C54" s="11"/>
      <c r="D54" s="31"/>
      <c r="E54" s="33"/>
      <c r="F54" s="37"/>
      <c r="G54" s="61"/>
      <c r="H54" s="62"/>
      <c r="I54" s="62"/>
      <c r="J54" s="37"/>
    </row>
    <row r="55" spans="1:10" ht="27.75" thickBot="1" x14ac:dyDescent="0.35">
      <c r="A55" s="12" t="s">
        <v>3</v>
      </c>
      <c r="B55" s="32" t="s">
        <v>15</v>
      </c>
      <c r="C55" s="32" t="s">
        <v>43</v>
      </c>
      <c r="D55" s="12" t="s">
        <v>7</v>
      </c>
      <c r="E55" s="12" t="s">
        <v>13</v>
      </c>
      <c r="F55" s="37"/>
      <c r="G55" s="63"/>
      <c r="H55" s="63"/>
      <c r="I55" s="63"/>
      <c r="J55" s="37"/>
    </row>
    <row r="56" spans="1:10" ht="13.5" x14ac:dyDescent="0.2">
      <c r="A56" s="9"/>
      <c r="B56" s="8"/>
      <c r="C56" s="117" t="s">
        <v>49</v>
      </c>
      <c r="D56" s="13"/>
      <c r="E56" s="13"/>
      <c r="F56" s="37"/>
      <c r="G56" s="37"/>
      <c r="H56" s="37"/>
      <c r="I56" s="37"/>
      <c r="J56" s="37"/>
    </row>
    <row r="57" spans="1:10" ht="13.5" x14ac:dyDescent="0.2">
      <c r="A57" s="5" t="s">
        <v>33</v>
      </c>
      <c r="B57" s="6">
        <v>10</v>
      </c>
      <c r="C57" s="121"/>
      <c r="D57" s="14" t="s">
        <v>77</v>
      </c>
      <c r="E57" s="14"/>
      <c r="F57" s="37"/>
      <c r="G57" s="37"/>
      <c r="H57" s="37"/>
      <c r="I57" s="37"/>
      <c r="J57" s="37"/>
    </row>
    <row r="58" spans="1:10" ht="13.5" x14ac:dyDescent="0.2">
      <c r="A58" s="142" t="s">
        <v>29</v>
      </c>
      <c r="B58" s="79">
        <v>4</v>
      </c>
      <c r="C58" s="132"/>
      <c r="D58" s="80" t="s">
        <v>78</v>
      </c>
      <c r="E58" s="80"/>
      <c r="F58" s="37"/>
      <c r="G58" s="37"/>
      <c r="H58" s="37"/>
      <c r="I58" s="37"/>
      <c r="J58" s="37"/>
    </row>
    <row r="59" spans="1:10" ht="13.5" x14ac:dyDescent="0.2">
      <c r="A59" s="142" t="s">
        <v>75</v>
      </c>
      <c r="B59" s="79">
        <v>7</v>
      </c>
      <c r="C59" s="132"/>
      <c r="D59" s="80" t="s">
        <v>79</v>
      </c>
      <c r="E59" s="80"/>
      <c r="F59" s="37"/>
      <c r="G59" s="37"/>
      <c r="H59" s="37"/>
      <c r="I59" s="37"/>
      <c r="J59" s="37"/>
    </row>
    <row r="60" spans="1:10" ht="13.5" x14ac:dyDescent="0.2">
      <c r="A60" s="142" t="s">
        <v>32</v>
      </c>
      <c r="B60" s="79">
        <v>4</v>
      </c>
      <c r="C60" s="132"/>
      <c r="D60" s="80" t="s">
        <v>80</v>
      </c>
      <c r="E60" s="80"/>
      <c r="F60" s="37"/>
      <c r="G60" s="37"/>
      <c r="H60" s="37"/>
      <c r="I60" s="37"/>
      <c r="J60" s="37"/>
    </row>
    <row r="61" spans="1:10" ht="13.5" x14ac:dyDescent="0.2">
      <c r="A61" s="146" t="s">
        <v>34</v>
      </c>
      <c r="B61" s="79">
        <v>1</v>
      </c>
      <c r="C61" s="132"/>
      <c r="D61" s="80" t="s">
        <v>63</v>
      </c>
      <c r="E61" s="80"/>
      <c r="F61" s="37"/>
      <c r="G61" s="37"/>
      <c r="H61" s="37"/>
      <c r="I61" s="37"/>
      <c r="J61" s="37"/>
    </row>
    <row r="62" spans="1:10" ht="13.5" x14ac:dyDescent="0.2">
      <c r="A62" s="127" t="s">
        <v>36</v>
      </c>
      <c r="B62" s="112">
        <v>1</v>
      </c>
      <c r="C62" s="119"/>
      <c r="D62" s="113" t="s">
        <v>59</v>
      </c>
      <c r="E62" s="113"/>
      <c r="F62" s="37"/>
      <c r="G62" s="37"/>
      <c r="H62" s="37"/>
      <c r="I62" s="37"/>
      <c r="J62" s="37"/>
    </row>
    <row r="63" spans="1:10" ht="13.5" x14ac:dyDescent="0.2">
      <c r="A63" s="109"/>
      <c r="B63" s="110"/>
      <c r="C63" s="124" t="s">
        <v>50</v>
      </c>
      <c r="D63" s="111"/>
      <c r="E63" s="111"/>
      <c r="F63" s="37"/>
      <c r="G63" s="37"/>
      <c r="H63" s="37"/>
      <c r="I63" s="37"/>
      <c r="J63" s="37"/>
    </row>
    <row r="64" spans="1:10" ht="13.5" x14ac:dyDescent="0.2">
      <c r="A64" s="5" t="s">
        <v>33</v>
      </c>
      <c r="B64" s="6">
        <v>3</v>
      </c>
      <c r="C64" s="138"/>
      <c r="D64" s="14" t="s">
        <v>81</v>
      </c>
      <c r="E64" s="14"/>
    </row>
    <row r="65" spans="1:5" ht="13.5" x14ac:dyDescent="0.2">
      <c r="A65" s="139" t="s">
        <v>75</v>
      </c>
      <c r="B65" s="115">
        <v>6</v>
      </c>
      <c r="C65" s="135"/>
      <c r="D65" s="116" t="s">
        <v>79</v>
      </c>
      <c r="E65" s="116"/>
    </row>
    <row r="66" spans="1:5" ht="13.5" x14ac:dyDescent="0.2">
      <c r="A66" s="140" t="s">
        <v>32</v>
      </c>
      <c r="B66" s="6">
        <v>1</v>
      </c>
      <c r="C66" s="138"/>
      <c r="D66" s="14" t="s">
        <v>82</v>
      </c>
      <c r="E66" s="141"/>
    </row>
    <row r="67" spans="1:5" ht="13.5" x14ac:dyDescent="0.2">
      <c r="A67" s="146" t="s">
        <v>34</v>
      </c>
      <c r="B67" s="79">
        <v>1</v>
      </c>
      <c r="C67" s="132"/>
      <c r="D67" s="80" t="s">
        <v>63</v>
      </c>
      <c r="E67" s="80"/>
    </row>
    <row r="68" spans="1:5" ht="13.5" x14ac:dyDescent="0.2">
      <c r="A68" s="127" t="s">
        <v>36</v>
      </c>
      <c r="B68" s="112">
        <v>1</v>
      </c>
      <c r="C68" s="119"/>
      <c r="D68" s="113" t="s">
        <v>59</v>
      </c>
      <c r="E68" s="113"/>
    </row>
    <row r="69" spans="1:5" ht="13.5" x14ac:dyDescent="0.2">
      <c r="A69" s="109"/>
      <c r="B69" s="110"/>
      <c r="C69" s="118" t="s">
        <v>51</v>
      </c>
      <c r="D69" s="111"/>
      <c r="E69" s="111"/>
    </row>
    <row r="70" spans="1:5" ht="13.5" x14ac:dyDescent="0.2">
      <c r="A70" s="139" t="s">
        <v>75</v>
      </c>
      <c r="B70" s="115">
        <v>10</v>
      </c>
      <c r="C70" s="135"/>
      <c r="D70" s="116" t="s">
        <v>83</v>
      </c>
      <c r="E70" s="116"/>
    </row>
    <row r="71" spans="1:5" ht="13.5" x14ac:dyDescent="0.2">
      <c r="A71" s="140" t="s">
        <v>32</v>
      </c>
      <c r="B71" s="6">
        <v>8</v>
      </c>
      <c r="C71" s="138"/>
      <c r="D71" s="14" t="s">
        <v>84</v>
      </c>
      <c r="E71" s="141"/>
    </row>
    <row r="72" spans="1:5" ht="13.5" x14ac:dyDescent="0.2">
      <c r="A72" s="139" t="s">
        <v>31</v>
      </c>
      <c r="B72" s="115">
        <v>7</v>
      </c>
      <c r="C72" s="135"/>
      <c r="D72" s="116" t="s">
        <v>85</v>
      </c>
      <c r="E72" s="116"/>
    </row>
    <row r="73" spans="1:5" ht="13.5" x14ac:dyDescent="0.2">
      <c r="A73" s="146" t="s">
        <v>34</v>
      </c>
      <c r="B73" s="79">
        <v>1</v>
      </c>
      <c r="C73" s="132"/>
      <c r="D73" s="80" t="s">
        <v>63</v>
      </c>
      <c r="E73" s="80"/>
    </row>
    <row r="74" spans="1:5" ht="13.5" x14ac:dyDescent="0.2">
      <c r="A74" s="127" t="s">
        <v>36</v>
      </c>
      <c r="B74" s="112">
        <v>1</v>
      </c>
      <c r="C74" s="119"/>
      <c r="D74" s="113" t="s">
        <v>59</v>
      </c>
      <c r="E74" s="113"/>
    </row>
    <row r="75" spans="1:5" ht="13.5" x14ac:dyDescent="0.2">
      <c r="A75" s="110"/>
      <c r="B75" s="110"/>
      <c r="C75" s="118" t="s">
        <v>52</v>
      </c>
      <c r="D75" s="111"/>
      <c r="E75" s="111"/>
    </row>
    <row r="76" spans="1:5" ht="13.5" x14ac:dyDescent="0.2">
      <c r="A76" s="110" t="s">
        <v>33</v>
      </c>
      <c r="B76" s="110">
        <v>15</v>
      </c>
      <c r="C76" s="149"/>
      <c r="D76" s="111" t="s">
        <v>86</v>
      </c>
      <c r="E76" s="111"/>
    </row>
    <row r="77" spans="1:5" ht="13.5" x14ac:dyDescent="0.2">
      <c r="A77" s="6" t="s">
        <v>28</v>
      </c>
      <c r="B77" s="6">
        <v>4</v>
      </c>
      <c r="C77" s="121"/>
      <c r="D77" s="14" t="s">
        <v>87</v>
      </c>
      <c r="E77" s="14"/>
    </row>
    <row r="78" spans="1:5" ht="13.5" x14ac:dyDescent="0.2">
      <c r="A78" s="146" t="s">
        <v>33</v>
      </c>
      <c r="B78" s="79">
        <v>6</v>
      </c>
      <c r="C78" s="132"/>
      <c r="D78" s="80" t="s">
        <v>88</v>
      </c>
      <c r="E78" s="80"/>
    </row>
    <row r="79" spans="1:5" ht="13.5" x14ac:dyDescent="0.2">
      <c r="A79" s="146" t="s">
        <v>34</v>
      </c>
      <c r="B79" s="79">
        <v>1</v>
      </c>
      <c r="C79" s="132"/>
      <c r="D79" s="80" t="s">
        <v>63</v>
      </c>
      <c r="E79" s="80"/>
    </row>
    <row r="80" spans="1:5" ht="14.25" thickBot="1" x14ac:dyDescent="0.25">
      <c r="A80" s="127" t="s">
        <v>36</v>
      </c>
      <c r="B80" s="112">
        <v>1</v>
      </c>
      <c r="C80" s="119"/>
      <c r="D80" s="113" t="s">
        <v>59</v>
      </c>
      <c r="E80" s="15"/>
    </row>
    <row r="81" spans="1:5" ht="14.25" thickBot="1" x14ac:dyDescent="0.25">
      <c r="A81" s="16" t="s">
        <v>22</v>
      </c>
      <c r="B81" s="16">
        <f>SUM(B56:B80)</f>
        <v>93</v>
      </c>
      <c r="C81" s="108"/>
      <c r="D81" s="85" t="s">
        <v>37</v>
      </c>
      <c r="E81" s="17"/>
    </row>
    <row r="82" spans="1:5" ht="15" thickBot="1" x14ac:dyDescent="0.35">
      <c r="A82" s="18"/>
      <c r="B82" s="18"/>
      <c r="C82" s="18"/>
      <c r="D82" s="18"/>
      <c r="E82" s="18"/>
    </row>
    <row r="83" spans="1:5" ht="18.75" thickBot="1" x14ac:dyDescent="0.25">
      <c r="A83" s="10" t="s">
        <v>14</v>
      </c>
      <c r="B83" s="11">
        <v>4</v>
      </c>
      <c r="C83" s="11"/>
      <c r="D83" s="31"/>
      <c r="E83" s="33"/>
    </row>
    <row r="84" spans="1:5" ht="27.75" thickBot="1" x14ac:dyDescent="0.25">
      <c r="A84" s="12" t="s">
        <v>3</v>
      </c>
      <c r="B84" s="32" t="s">
        <v>15</v>
      </c>
      <c r="C84" s="32" t="s">
        <v>43</v>
      </c>
      <c r="D84" s="12" t="s">
        <v>7</v>
      </c>
      <c r="E84" s="12" t="s">
        <v>13</v>
      </c>
    </row>
    <row r="85" spans="1:5" ht="13.5" x14ac:dyDescent="0.2">
      <c r="A85" s="9"/>
      <c r="B85" s="8"/>
      <c r="C85" s="117" t="s">
        <v>49</v>
      </c>
      <c r="D85" s="13"/>
      <c r="E85" s="13"/>
    </row>
    <row r="86" spans="1:5" ht="14.25" thickBot="1" x14ac:dyDescent="0.25">
      <c r="A86" s="5" t="s">
        <v>21</v>
      </c>
      <c r="B86" s="6">
        <v>24</v>
      </c>
      <c r="C86" s="119"/>
      <c r="D86" s="14" t="s">
        <v>58</v>
      </c>
      <c r="E86" s="14"/>
    </row>
    <row r="87" spans="1:5" ht="14.25" thickBot="1" x14ac:dyDescent="0.25">
      <c r="A87" s="16" t="s">
        <v>22</v>
      </c>
      <c r="B87" s="16">
        <f>SUM(B85:B86)</f>
        <v>24</v>
      </c>
      <c r="C87" s="108"/>
      <c r="D87" s="85" t="s">
        <v>57</v>
      </c>
      <c r="E87" s="17"/>
    </row>
    <row r="88" spans="1:5" ht="14.25" x14ac:dyDescent="0.3">
      <c r="A88" s="18"/>
      <c r="B88" s="18"/>
      <c r="C88" s="18"/>
      <c r="D88" s="18"/>
      <c r="E88" s="18"/>
    </row>
    <row r="89" spans="1:5" x14ac:dyDescent="0.2">
      <c r="A89" s="84" t="s">
        <v>38</v>
      </c>
    </row>
  </sheetData>
  <sheetProtection insertRows="0" selectLockedCells="1"/>
  <dataValidations count="4">
    <dataValidation type="list" allowBlank="1" showInputMessage="1" showErrorMessage="1" sqref="A3:A28 A85:A86 A56:A80 A33:A51">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9:C29 B52:C52 B81:C81 B87:C87">
      <formula1>0</formula1>
      <formula2>NbPerWeek * NbQuartPer</formula2>
    </dataValidation>
    <dataValidation type="whole" errorStyle="warning" operator="greaterThan" allowBlank="1" showInputMessage="1" showErrorMessage="1" errorTitle="Durée en 1/3 de période" error="Le nombre doit être de type entier" sqref="G39:G53 B3:C28 B85:C86 B56:C80 B33:C51">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G54">
      <formula1>0</formula1>
      <formula2>DureePeriode-1</formula2>
    </dataValidation>
  </dataValidations>
  <hyperlinks>
    <hyperlink ref="E6" r:id="rId1"/>
    <hyperlink ref="E7" r:id="rId2"/>
    <hyperlink ref="E8" r:id="rId3"/>
    <hyperlink ref="E13" r:id="rId4"/>
  </hyperlinks>
  <printOptions horizontalCentered="1" verticalCentered="1"/>
  <pageMargins left="0.25" right="0.25" top="0.75" bottom="0.75" header="0.3" footer="0.3"/>
  <pageSetup paperSize="9" scale="54" fitToHeight="0" orientation="portrait" cellComments="atEnd" r:id="rId5"/>
  <headerFooter>
    <oddHeader>&amp;L&amp;"ETML L,Normal"&amp;24ETML</oddHeader>
    <oddFooter>&amp;C&amp;F&amp;L&amp;D</oddFooter>
  </headerFooter>
  <drawing r:id="rId6"/>
  <legacyDrawing r:id="rId7"/>
  <controls>
    <mc:AlternateContent xmlns:mc="http://schemas.openxmlformats.org/markup-compatibility/2006">
      <mc:Choice Requires="x14">
        <control shapeId="43009" r:id="rId8" name="btnImportPlanification">
          <controlPr defaultSize="0" autoLine="0" autoPict="0" r:id="rId9">
            <anchor moveWithCells="1">
              <from>
                <xdr:col>5</xdr:col>
                <xdr:colOff>590550</xdr:colOff>
                <xdr:row>0</xdr:row>
                <xdr:rowOff>180975</xdr:rowOff>
              </from>
              <to>
                <xdr:col>8</xdr:col>
                <xdr:colOff>190500</xdr:colOff>
                <xdr:row>2</xdr:row>
                <xdr:rowOff>66675</xdr:rowOff>
              </to>
            </anchor>
          </controlPr>
        </control>
      </mc:Choice>
      <mc:Fallback>
        <control shapeId="43009" r:id="rId8"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2017-06-02T14:19:20Z</dcterms:modified>
  <cp:contentStatus>Version 8.0</cp:contentStatus>
</cp:coreProperties>
</file>